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ismodell" sheetId="1" state="visible" r:id="rId3"/>
    <sheet name="Kundenrechn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<sst xmlns="http://schemas.openxmlformats.org/spreadsheetml/2006/main" count="29" uniqueCount="29">
  <si>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Preismodell Betreuung "Zertifizierungsfähig" — Parameter</t>
  </si>
  <si>
    <t xml:space="preserve">ALLE Werte sind ANNAHMEN (blau) — von Mark festzulegen. Formeln im Kundenrechner ziehen automatisch nach.</t>
  </si>
  <si>
    <t xml:space="preserve">Sockel / Monat (1 Norm, 1 SDL, bis 10 SMA)</t>
  </si>
  <si>
    <t xml:space="preserve">Zuschlag je weitere Norm / Monat</t>
  </si>
  <si>
    <t xml:space="preserve">SMA-Staffel 11–25 / Monat</t>
  </si>
  <si>
    <t xml:space="preserve">SMA-Staffel 26–50 / Monat</t>
  </si>
  <si>
    <t xml:space="preserve">SMA-Staffel über 50 / Monat</t>
  </si>
  <si>
    <t xml:space="preserve">Zuschlag je DIN-77200-2-SDL / Monat</t>
  </si>
  <si>
    <t xml:space="preserve">Zuschlag je besondere 77200-1-SDL (Intervention, Veranstaltung) / Monat</t>
  </si>
  <si>
    <t xml:space="preserve">Preis je Schulungsmodul (4 UE, bis 12 TN)</t>
  </si>
  <si>
    <t xml:space="preserve">Rabatt Plus-Kontingent (4 Module/Jahr)</t>
  </si>
  <si>
    <t xml:space="preserve">Kalibrierungshilfe: Jahreswert Retainer ≈ 0,5–1 Beratertag/Monat. Erstkunden: Preisgarantie statt Rabatt. Welche 77200-1-SDLs als "besonders" gelten (Intervention/Veranstaltung): fachlich prüfen, CL-ID offen.</t>
  </si>
  <si>
    <t xml:space="preserve">Kundenrechner — Eingaben blau, Preise rechnen automatisch</t>
  </si>
  <si>
    <t xml:space="preserve">Kunde</t>
  </si>
  <si>
    <t xml:space="preserve">Normen gesamt</t>
  </si>
  <si>
    <t xml:space="preserve">SMA-Anzahl</t>
  </si>
  <si>
    <t xml:space="preserve">77200-2-SDLs</t>
  </si>
  <si>
    <t xml:space="preserve">bes. 77200-1-SDLs (Interv./Veranst.)</t>
  </si>
  <si>
    <t xml:space="preserve">Monat BASIS</t>
  </si>
  <si>
    <t xml:space="preserve">Jahr BASIS</t>
  </si>
  <si>
    <t xml:space="preserve">Monat PLUS (inkl. 4 Module)</t>
  </si>
  <si>
    <t xml:space="preserve">Hinweise / zu klären</t>
  </si>
  <si>
    <t xml:space="preserve">TeamFlex</t>
  </si>
  <si>
    <t xml:space="preserve">SMA=36 Personalakten gezählt (verifizieren!); Multisite: ISO-Scope der Konzernmutter erfragen | TeamFlex: Kontrolldienst Eschenallee — Intervention/Veranstaltung prüfen</t>
  </si>
  <si>
    <t xml:space="preserve">ELC Security &amp; Service</t>
  </si>
  <si>
    <t xml:space="preserve">ISO 9001 + DIN 77200-1/-2 (Asyl + Veranstaltung) lt. Ordnerstruktur; SMA=13 Akten (verifizieren); offene Forderung VOR Start klären! | ELC: 77200-1-SDLs erfragen</t>
  </si>
  <si>
    <t xml:space="preserve">Wolf Street</t>
  </si>
  <si>
    <t xml:space="preserve">ISO 9001 + 14001 + DIN 77200-1/-2 lt. Akte — ggf. 4 Normen; SMA=18 Akten (verifizieren) | Wolf Street: FUA + Kontrolldienst — Intervention prüfen</t>
  </si>
  <si>
    <t xml:space="preserve">Schulungen außerhalb des Plus-Kontingents: je Modul Preismodell!B10. Software: Pilot-Zugang inklusive, Preisgarantie für Erstkunden.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</si>
</sst>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425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425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350</v>
      </c>
    </row>
    <row r="5" customFormat="false" ht="15" hidden="false" customHeight="true" outlineLevel="0" collapsed="false">
      <c r="A5" s="4" t="s">
        <v>3</v>
      </c>
      <c r="B5" s="5" t="n">
        <v>150</v>
      </c>
    </row>
    <row r="6" customFormat="false" ht="15" hidden="false" customHeight="true" outlineLevel="0" collapsed="false">
      <c r="A6" s="4" t="s">
        <v>4</v>
      </c>
      <c r="B6" s="5" t="n">
        <v>150</v>
      </c>
    </row>
    <row r="7" customFormat="false" ht="15" hidden="false" customHeight="true" outlineLevel="0" collapsed="false">
      <c r="A7" s="4" t="s">
        <v>5</v>
      </c>
      <c r="B7" s="5" t="n">
        <v>300</v>
      </c>
    </row>
    <row r="8" customFormat="false" ht="15" hidden="false" customHeight="true" outlineLevel="0" collapsed="false">
      <c r="A8" s="4" t="s">
        <v>6</v>
      </c>
      <c r="B8" s="5" t="n">
        <v>500</v>
      </c>
    </row>
    <row r="9" customFormat="false" ht="15" hidden="false" customHeight="true" outlineLevel="0" collapsed="false">
      <c r="A9" s="4" t="s">
        <v>7</v>
      </c>
      <c r="B9" s="5" t="n">
        <v>200</v>
      </c>
    </row>
    <row r="10" customFormat="false" ht="15" hidden="false" customHeight="true" outlineLevel="0" collapsed="false">
      <c r="A10" s="6" t="s">
        <v>8</v>
      </c>
      <c r="B10" s="7" t="n">
        <v>100</v>
      </c>
    </row>
    <row r="11" customFormat="false" ht="15" hidden="false" customHeight="true" outlineLevel="0" collapsed="false">
      <c r="A11" s="4" t="s">
        <v>9</v>
      </c>
      <c r="B11" s="5" t="n">
        <v>550</v>
      </c>
    </row>
    <row r="12" customFormat="false" ht="15" hidden="false" customHeight="false" outlineLevel="0" collapsed="false">
      <c r="A12" s="4" t="s">
        <v>10</v>
      </c>
      <c r="B12" s="8" t="n">
        <v>0.15</v>
      </c>
    </row>
    <row r="13" customFormat="false" ht="15" hidden="false" customHeight="true" outlineLevel="0" collapsed="false"/>
    <row r="14" customFormat="false" ht="15" hidden="false" customHeight="false" outlineLevel="0" collapsed="false">
      <c r="A14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24"/>
    <col collapsed="false" customWidth="true" hidden="false" outlineLevel="0" max="8" min="8" style="1" width="60"/>
  </cols>
  <sheetData>
    <row r="1" customFormat="false" ht="15" hidden="false" customHeight="true" outlineLevel="0" collapsed="false">
      <c r="A1" s="2" t="s">
        <v>12</v>
      </c>
    </row>
    <row r="3" customFormat="false" ht="15" hidden="false" customHeight="true" outlineLevel="0" collapsed="false">
      <c r="A3" s="9" t="s">
        <v>13</v>
      </c>
      <c r="B3" s="9" t="s">
        <v>14</v>
      </c>
      <c r="C3" s="9" t="s">
        <v>15</v>
      </c>
      <c r="D3" s="9" t="s">
        <v>16</v>
      </c>
      <c r="E3" s="10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customFormat="false" ht="15" hidden="false" customHeight="true" outlineLevel="0" collapsed="false">
      <c r="A4" s="11" t="s">
        <v>22</v>
      </c>
      <c r="B4" s="5" t="n">
        <v>2</v>
      </c>
      <c r="C4" s="5" t="n">
        <v>36</v>
      </c>
      <c r="D4" s="5" t="n">
        <v>1</v>
      </c>
      <c r="E4" s="7" t="n">
        <v>0</v>
      </c>
      <c r="F4" s="12" t="n">
        <f aca="false">Preismodell!$B$4+(B4-1)*Preismodell!$B$5+IF(C4&lt;=10,0,IF(C4&lt;=25,Preismodell!$B$6,IF(C4&lt;=50,Preismodell!$B$7,Preismodell!$B$8)))+D4*Preismodell!$B$9+E4*Preismodell!$B$10</f>
        <v>1000</v>
      </c>
      <c r="G4" s="12" t="n">
        <f aca="false">F4*12</f>
        <v>12000</v>
      </c>
      <c r="H4" s="12" t="n">
        <f aca="false">F4+ROUND(4*Preismodell!$B$11*(1-Preismodell!$B$12)/12,0)</f>
        <v>1156</v>
      </c>
      <c r="I4" s="13" t="s">
        <v>23</v>
      </c>
    </row>
    <row r="5" customFormat="false" ht="15" hidden="false" customHeight="true" outlineLevel="0" collapsed="false">
      <c r="A5" s="11" t="s">
        <v>24</v>
      </c>
      <c r="B5" s="5" t="n">
        <v>3</v>
      </c>
      <c r="C5" s="5" t="n">
        <v>13</v>
      </c>
      <c r="D5" s="5" t="n">
        <v>2</v>
      </c>
      <c r="E5" s="7" t="n">
        <v>0</v>
      </c>
      <c r="F5" s="12" t="n">
        <f aca="false">Preismodell!$B$4+(B5-1)*Preismodell!$B$5+IF(C5&lt;=10,0,IF(C5&lt;=25,Preismodell!$B$6,IF(C5&lt;=50,Preismodell!$B$7,Preismodell!$B$8)))+D5*Preismodell!$B$9+E5*Preismodell!$B$10</f>
        <v>1200</v>
      </c>
      <c r="G5" s="12" t="n">
        <f aca="false">F5*12</f>
        <v>14400</v>
      </c>
      <c r="H5" s="12" t="n">
        <f aca="false">F5+ROUND(4*Preismodell!$B$11*(1-Preismodell!$B$12)/12,0)</f>
        <v>1356</v>
      </c>
      <c r="I5" s="13" t="s">
        <v>25</v>
      </c>
    </row>
    <row r="6" customFormat="false" ht="15" hidden="false" customHeight="true" outlineLevel="0" collapsed="false">
      <c r="A6" s="11" t="s">
        <v>26</v>
      </c>
      <c r="B6" s="5" t="n">
        <v>3</v>
      </c>
      <c r="C6" s="5" t="n">
        <v>18</v>
      </c>
      <c r="D6" s="5" t="n">
        <v>1</v>
      </c>
      <c r="E6" s="7" t="n">
        <v>0</v>
      </c>
      <c r="F6" s="12" t="n">
        <f aca="false">Preismodell!$B$4+(B6-1)*Preismodell!$B$5+IF(C6&lt;=10,0,IF(C6&lt;=25,Preismodell!$B$6,IF(C6&lt;=50,Preismodell!$B$7,Preismodell!$B$8)))+D6*Preismodell!$B$9+E6*Preismodell!$B$10</f>
        <v>1000</v>
      </c>
      <c r="G6" s="12" t="n">
        <f aca="false">F6*12</f>
        <v>12000</v>
      </c>
      <c r="H6" s="12" t="n">
        <f aca="false">F6+ROUND(4*Preismodell!$B$11*(1-Preismodell!$B$12)/12,0)</f>
        <v>1156</v>
      </c>
      <c r="I6" s="13" t="s">
        <v>27</v>
      </c>
    </row>
    <row r="8" customFormat="false" ht="15" hidden="false" customHeight="true" outlineLevel="0" collapsed="false">
      <c r="A8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2026-06-12T17:25:24Z</dcterms:created>
  <dc:creator>openpyxl</dc:creator>
  <dc:description/>
  <dc:language>en-US</dc:language>
  <cp:lastModifiedBy/>
  <dcterms:modified xsi:type="dcterms:W3CDTF">2026-06-12T18:15:24Z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