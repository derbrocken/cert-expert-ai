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D:\Nextcloud\AMS_BAU\"/>
    </mc:Choice>
  </mc:AlternateContent>
  <xr:revisionPtr revIDLastSave="0" documentId="13_ncr:1_{23457C6D-363E-4465-A3B7-7F0AFEFCE80C}" xr6:coauthVersionLast="47" xr6:coauthVersionMax="47" xr10:uidLastSave="{00000000-0000-0000-0000-000000000000}"/>
  <bookViews>
    <workbookView xWindow="-120" yWindow="-120" windowWidth="29040" windowHeight="16440" tabRatio="854" activeTab="1" xr2:uid="{00000000-000D-0000-FFFF-FFFF00000000}"/>
  </bookViews>
  <sheets>
    <sheet name="Deckblatt" sheetId="16" r:id="rId1"/>
    <sheet name="UH-Zahl AMS BAU" sheetId="1" r:id="rId2"/>
    <sheet name="TPQ" sheetId="6" r:id="rId3"/>
    <sheet name="SGUnternehmen" sheetId="8" r:id="rId4"/>
    <sheet name="SGproUnfall" sheetId="7" r:id="rId5"/>
    <sheet name="LTIF" sheetId="17" r:id="rId6"/>
    <sheet name="TRIFR" sheetId="9" r:id="rId7"/>
    <sheet name="SGproUnfallkat" sheetId="12" r:id="rId8"/>
    <sheet name="Auswertung nach Unfallkategorie" sheetId="14" r:id="rId9"/>
    <sheet name="Anregung weitere SGA Kennzahlen" sheetId="15"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 r="C19" i="17"/>
  <c r="D19" i="17"/>
  <c r="B19" i="17"/>
  <c r="I23" i="12"/>
  <c r="I22" i="12"/>
  <c r="I21" i="12"/>
  <c r="I20" i="12"/>
  <c r="I19" i="12"/>
  <c r="I18" i="12"/>
  <c r="I17" i="12"/>
  <c r="I16" i="12"/>
  <c r="D17" i="12" l="1"/>
  <c r="D18" i="12"/>
  <c r="D19" i="12"/>
  <c r="D20" i="12"/>
  <c r="D21" i="12"/>
  <c r="D22" i="12"/>
  <c r="D23" i="12"/>
  <c r="D24" i="12"/>
  <c r="D25" i="12"/>
  <c r="D16" i="12"/>
  <c r="B23" i="9"/>
  <c r="C23" i="9"/>
  <c r="D23" i="9"/>
  <c r="D17" i="8"/>
  <c r="C17" i="8"/>
  <c r="B17" i="8"/>
  <c r="C17" i="7"/>
  <c r="D17" i="7"/>
  <c r="B17" i="7"/>
  <c r="D17" i="6"/>
  <c r="B17" i="6"/>
  <c r="C17" i="6"/>
  <c r="B24" i="1"/>
  <c r="D24" i="1"/>
  <c r="C24" i="1"/>
</calcChain>
</file>

<file path=xl/sharedStrings.xml><?xml version="1.0" encoding="utf-8"?>
<sst xmlns="http://schemas.openxmlformats.org/spreadsheetml/2006/main" count="419" uniqueCount="168">
  <si>
    <t>UH</t>
  </si>
  <si>
    <r>
      <t xml:space="preserve">meldepflichtige </t>
    </r>
    <r>
      <rPr>
        <b/>
        <sz val="11"/>
        <color rgb="FF000000"/>
        <rFont val="Arial"/>
        <family val="2"/>
      </rPr>
      <t>Arbeitsunfälle</t>
    </r>
    <r>
      <rPr>
        <sz val="11"/>
        <color rgb="FF000000"/>
        <rFont val="Arial"/>
        <family val="2"/>
      </rPr>
      <t xml:space="preserve"> (</t>
    </r>
    <r>
      <rPr>
        <b/>
        <sz val="11"/>
        <color rgb="FF000000"/>
        <rFont val="Arial"/>
        <family val="2"/>
      </rPr>
      <t>AU</t>
    </r>
    <r>
      <rPr>
        <sz val="11"/>
        <color rgb="FF000000"/>
        <rFont val="Arial"/>
        <family val="2"/>
      </rPr>
      <t>) - ohne Wegeunfälle - des Jahres multipliziert mit einer Millionen und dividiert durch die geleisteten Arbeitsstunden desselben Jahres</t>
    </r>
  </si>
  <si>
    <t>UH =</t>
  </si>
  <si>
    <t>AU =</t>
  </si>
  <si>
    <t>Arbeitsstunden =</t>
  </si>
  <si>
    <r>
      <t>UH  =  AU x 10</t>
    </r>
    <r>
      <rPr>
        <b/>
        <vertAlign val="superscript"/>
        <sz val="11"/>
        <color theme="1"/>
        <rFont val="Arial"/>
        <family val="2"/>
        <scheme val="minor"/>
      </rPr>
      <t>6</t>
    </r>
    <r>
      <rPr>
        <b/>
        <sz val="11"/>
        <color theme="1"/>
        <rFont val="Arial"/>
        <family val="2"/>
        <scheme val="minor"/>
      </rPr>
      <t xml:space="preserve">  /  Arbeitsstunden</t>
    </r>
  </si>
  <si>
    <t>AU</t>
  </si>
  <si>
    <t>Arbeitsstunden</t>
  </si>
  <si>
    <t>Kalenderjahr 1
(z.B. 2020)</t>
  </si>
  <si>
    <t>Kalenderjahr 2
(z.B. 2021)</t>
  </si>
  <si>
    <r>
      <t xml:space="preserve">UH </t>
    </r>
    <r>
      <rPr>
        <b/>
        <vertAlign val="subscript"/>
        <sz val="12"/>
        <color theme="1"/>
        <rFont val="Arial"/>
        <family val="2"/>
        <scheme val="minor"/>
      </rPr>
      <t>AMS BAU</t>
    </r>
    <r>
      <rPr>
        <b/>
        <sz val="12"/>
        <color theme="1"/>
        <rFont val="Arial"/>
        <family val="2"/>
        <scheme val="minor"/>
      </rPr>
      <t xml:space="preserve"> =</t>
    </r>
  </si>
  <si>
    <t>Berechnung der Unfallhäufigkeitskeitsziffer (UH bezogen auf ein Kalenderjahr)</t>
  </si>
  <si>
    <t>Firmenlogo</t>
  </si>
  <si>
    <t>Erfassung Kennzahlen</t>
  </si>
  <si>
    <r>
      <t xml:space="preserve">meldepflichtige Arbeitsunfälle nach §193 SGB VII:
</t>
    </r>
    <r>
      <rPr>
        <sz val="11"/>
        <color theme="1"/>
        <rFont val="Arial"/>
        <family val="2"/>
        <scheme val="minor"/>
      </rPr>
      <t>•  Arbeitsunfähigkeit von mehr als drei Tagen (der Unfalltag wird nicht mit gerechnet)
•  gezählt werden dabei alle Kalendertage
•  Tödliche Unfälle 
•  Massenunfälle (mehr als drei Verletzte)</t>
    </r>
  </si>
  <si>
    <t>Datum:</t>
  </si>
  <si>
    <t>Name:</t>
  </si>
  <si>
    <t>erstellt</t>
  </si>
  <si>
    <t>geprüft</t>
  </si>
  <si>
    <t>freigegeben</t>
  </si>
  <si>
    <t>xx.xx.202x</t>
  </si>
  <si>
    <t>Max Mustermann</t>
  </si>
  <si>
    <t>Erika Mustermann</t>
  </si>
  <si>
    <t>…</t>
  </si>
  <si>
    <t>Berechnung der Lost Time Injury Frequency (LTIF)
("international häufig verwendete Berechnung der Unfallhäufigkeit")</t>
  </si>
  <si>
    <t>FAT</t>
  </si>
  <si>
    <t>LTC</t>
  </si>
  <si>
    <t>Kalenderjahr 3
(z.B. 2022)</t>
  </si>
  <si>
    <t>LTIF</t>
  </si>
  <si>
    <t>WH</t>
  </si>
  <si>
    <t>Dok.-Nr.: xx
Rev.-Nr.: xx
Seite 1 von 1</t>
  </si>
  <si>
    <t>mit:</t>
  </si>
  <si>
    <r>
      <rPr>
        <u/>
        <sz val="11"/>
        <color theme="1"/>
        <rFont val="Arial"/>
        <family val="2"/>
        <scheme val="minor"/>
      </rPr>
      <t>meldepflichtige Arbeitsunfälle nach §193 SGB VII:</t>
    </r>
    <r>
      <rPr>
        <sz val="11"/>
        <color theme="1"/>
        <rFont val="Arial"/>
        <family val="2"/>
        <scheme val="minor"/>
      </rPr>
      <t xml:space="preserve">
•  Arbeitsunfähigkeit von mehr als drei Tagen (der Unfalltag wird nicht mit gerechnet)
•  gezählt werden dabei alle Kalendertage
•  Tödliche Unfälle 
•  Massenunfälle (mehr als drei Verletzte)</t>
    </r>
  </si>
  <si>
    <t>n</t>
  </si>
  <si>
    <t>AT</t>
  </si>
  <si>
    <r>
      <rPr>
        <b/>
        <sz val="11"/>
        <color theme="1"/>
        <rFont val="Calibri"/>
        <family val="2"/>
      </rPr>
      <t>∑</t>
    </r>
    <r>
      <rPr>
        <b/>
        <sz val="11"/>
        <color theme="1"/>
        <rFont val="Arial"/>
        <family val="2"/>
        <scheme val="minor"/>
      </rPr>
      <t>AT</t>
    </r>
  </si>
  <si>
    <r>
      <t>Berechnung des Unfallschweregrads im Unternehmen (SG</t>
    </r>
    <r>
      <rPr>
        <b/>
        <vertAlign val="subscript"/>
        <sz val="11"/>
        <color theme="1"/>
        <rFont val="Arial"/>
        <family val="2"/>
        <scheme val="minor"/>
      </rPr>
      <t>Unternehmen</t>
    </r>
    <r>
      <rPr>
        <b/>
        <sz val="11"/>
        <color theme="1"/>
        <rFont val="Arial"/>
        <family val="2"/>
        <scheme val="minor"/>
      </rPr>
      <t>)</t>
    </r>
  </si>
  <si>
    <r>
      <t>SG</t>
    </r>
    <r>
      <rPr>
        <b/>
        <vertAlign val="subscript"/>
        <sz val="11"/>
        <color theme="1"/>
        <rFont val="Arial"/>
        <family val="2"/>
        <scheme val="minor"/>
      </rPr>
      <t>Unternehmen</t>
    </r>
    <r>
      <rPr>
        <b/>
        <sz val="11"/>
        <color theme="1"/>
        <rFont val="Arial"/>
        <family val="2"/>
        <scheme val="minor"/>
      </rPr>
      <t xml:space="preserve"> = </t>
    </r>
    <r>
      <rPr>
        <b/>
        <sz val="11"/>
        <color theme="1"/>
        <rFont val="Calibri"/>
        <family val="2"/>
      </rPr>
      <t>∑</t>
    </r>
    <r>
      <rPr>
        <b/>
        <sz val="11"/>
        <color theme="1"/>
        <rFont val="Arial"/>
        <family val="2"/>
        <scheme val="minor"/>
      </rPr>
      <t>AT  x 1000 / n</t>
    </r>
  </si>
  <si>
    <r>
      <t>SG</t>
    </r>
    <r>
      <rPr>
        <b/>
        <vertAlign val="subscript"/>
        <sz val="11"/>
        <color theme="1"/>
        <rFont val="Arial"/>
        <family val="2"/>
        <scheme val="minor"/>
      </rPr>
      <t>Unternehmen</t>
    </r>
  </si>
  <si>
    <t>Summe aller Ausfalltage aufgrund von Arbeitsunfällen (ohne Wegeunfälle) in der Belegschaft in einem Kalenderjahr</t>
  </si>
  <si>
    <r>
      <t>Berechnung des Unfallschweregrads pro Arbeitsunfall (SG</t>
    </r>
    <r>
      <rPr>
        <b/>
        <vertAlign val="subscript"/>
        <sz val="11"/>
        <color theme="1"/>
        <rFont val="Arial"/>
        <family val="2"/>
        <scheme val="minor"/>
      </rPr>
      <t>pro Arbeitsunfall</t>
    </r>
    <r>
      <rPr>
        <b/>
        <sz val="11"/>
        <color theme="1"/>
        <rFont val="Arial"/>
        <family val="2"/>
        <scheme val="minor"/>
      </rPr>
      <t>)</t>
    </r>
  </si>
  <si>
    <t>Ausfalltage aufgrund des jeweiligen Arbeitsunfalls (kein Wegeunfall)</t>
  </si>
  <si>
    <t>Unfall 1</t>
  </si>
  <si>
    <t>Unfall 2</t>
  </si>
  <si>
    <t>Unfall 3</t>
  </si>
  <si>
    <r>
      <t>SG</t>
    </r>
    <r>
      <rPr>
        <b/>
        <vertAlign val="subscript"/>
        <sz val="11"/>
        <color theme="1"/>
        <rFont val="Arial"/>
        <family val="2"/>
        <scheme val="minor"/>
      </rPr>
      <t>pro Arbeitsunfall</t>
    </r>
    <r>
      <rPr>
        <b/>
        <sz val="11"/>
        <color theme="1"/>
        <rFont val="Arial"/>
        <family val="2"/>
        <scheme val="minor"/>
      </rPr>
      <t xml:space="preserve"> = AT  x 1000 / n</t>
    </r>
  </si>
  <si>
    <r>
      <t>SG</t>
    </r>
    <r>
      <rPr>
        <b/>
        <vertAlign val="subscript"/>
        <sz val="11"/>
        <color theme="1"/>
        <rFont val="Arial"/>
        <family val="2"/>
        <scheme val="minor"/>
      </rPr>
      <t>pro Arbeitsunfall</t>
    </r>
  </si>
  <si>
    <t>Tödliche Arbeitsunfälle (FAT = Fatalities) im Kalenderjahr</t>
  </si>
  <si>
    <t>Arbeitsunfälle mit Ausfallzeiten von mehr als einem Tag (der Unfalltag wird nicht mitgerechnet) im Kalenderjahr (LTC = Lost Time Cases)</t>
  </si>
  <si>
    <t>Anzahl der geleisteten Arbeitsstunden im Kalenderjahr aller eigenen Beschäftigten plus die auf der Baustelle / im Objekt geleisteten Arbeisstunden der Nachunternehmen, die Sie selbst beauftragt haben (WH = Working Hours).</t>
  </si>
  <si>
    <t>MTC</t>
  </si>
  <si>
    <t>RWC</t>
  </si>
  <si>
    <t>Anzahl der Arbeitsunfälle mit ärztlicher Behandlung (z.B. "D-Arzt-Besuche") ohne Arbeitsunfähigkeitsbescheinigung (MTC = Medical Treatment Case) im Kalenderjahr</t>
  </si>
  <si>
    <r>
      <t>TRIFR = (FAT + LTC + MTC + RWC) x 10</t>
    </r>
    <r>
      <rPr>
        <b/>
        <vertAlign val="superscript"/>
        <sz val="11"/>
        <color theme="0"/>
        <rFont val="Arial"/>
        <family val="2"/>
        <scheme val="minor"/>
      </rPr>
      <t>6</t>
    </r>
    <r>
      <rPr>
        <b/>
        <sz val="11"/>
        <color theme="0"/>
        <rFont val="Arial"/>
        <family val="2"/>
        <scheme val="minor"/>
      </rPr>
      <t xml:space="preserve"> /  WH</t>
    </r>
  </si>
  <si>
    <t>TRIFR</t>
  </si>
  <si>
    <t xml:space="preserve">Anzahl der Arbeitsunfälle mit eingeschränkter Arbeitsunfähigkeit (RWC = Restricted Work Case) im Kalenderjahr
RWC sind Unfälle, die nicht tödlich verlaufen oder als LTC zählen, die jedoch zur Folge haben, dass die betroffene Person am Tag nach Eintreten des Arbeitsunfalls ihre reguläre Arbeit nicht vollständig ausüben kann und daher .B. zeitlich befristet bestimmte Tätigkeiten mit körperlicher Belastung nicht ausführt </t>
  </si>
  <si>
    <t>Berechnung der Total Recordable Injury Frequency Rate (TRIFR)
("international häufig verwendete Berechnung der Ereignishäufigkeit")</t>
  </si>
  <si>
    <t>Tödliche Arbeitsunfälle</t>
  </si>
  <si>
    <t>Anzahl</t>
  </si>
  <si>
    <t xml:space="preserve">Anzahl </t>
  </si>
  <si>
    <t>Beinahe-Unfälle</t>
  </si>
  <si>
    <t>Sonstiges</t>
  </si>
  <si>
    <r>
      <t>SG</t>
    </r>
    <r>
      <rPr>
        <b/>
        <vertAlign val="subscript"/>
        <sz val="11"/>
        <color theme="1"/>
        <rFont val="Arial"/>
        <family val="2"/>
        <scheme val="minor"/>
      </rPr>
      <t>pro Arbeitsunfallkategorie</t>
    </r>
    <r>
      <rPr>
        <b/>
        <sz val="11"/>
        <color theme="1"/>
        <rFont val="Arial"/>
        <family val="2"/>
        <scheme val="minor"/>
      </rPr>
      <t xml:space="preserve"> = </t>
    </r>
    <r>
      <rPr>
        <b/>
        <sz val="11"/>
        <color theme="1"/>
        <rFont val="Calibri"/>
        <family val="2"/>
      </rPr>
      <t>∑</t>
    </r>
    <r>
      <rPr>
        <b/>
        <sz val="11"/>
        <color theme="1"/>
        <rFont val="Arial"/>
        <family val="2"/>
        <scheme val="minor"/>
      </rPr>
      <t>AT</t>
    </r>
    <r>
      <rPr>
        <b/>
        <vertAlign val="subscript"/>
        <sz val="11"/>
        <color theme="1"/>
        <rFont val="Arial"/>
        <family val="2"/>
        <scheme val="minor"/>
      </rPr>
      <t>pro AU-Kategorie</t>
    </r>
    <r>
      <rPr>
        <b/>
        <sz val="11"/>
        <color theme="1"/>
        <rFont val="Arial"/>
        <family val="2"/>
        <scheme val="minor"/>
      </rPr>
      <t xml:space="preserve">  x 1000 / n</t>
    </r>
  </si>
  <si>
    <r>
      <rPr>
        <b/>
        <sz val="11"/>
        <color theme="1"/>
        <rFont val="Calibri"/>
        <family val="2"/>
      </rPr>
      <t>∑</t>
    </r>
    <r>
      <rPr>
        <b/>
        <sz val="11"/>
        <color theme="1"/>
        <rFont val="Arial"/>
        <family val="2"/>
        <scheme val="minor"/>
      </rPr>
      <t>AT</t>
    </r>
    <r>
      <rPr>
        <b/>
        <vertAlign val="subscript"/>
        <sz val="11"/>
        <color theme="1"/>
        <rFont val="Arial"/>
        <family val="2"/>
        <scheme val="minor"/>
      </rPr>
      <t>pro AU-Kategorie</t>
    </r>
  </si>
  <si>
    <t>AT Kat 1</t>
  </si>
  <si>
    <t>AT Kat 2</t>
  </si>
  <si>
    <t>AT Kat 3</t>
  </si>
  <si>
    <t>AT Kat 4</t>
  </si>
  <si>
    <t>AT Kat 5</t>
  </si>
  <si>
    <t>AT Kat 6</t>
  </si>
  <si>
    <t>AT Kat 7</t>
  </si>
  <si>
    <t>AT Kat 8</t>
  </si>
  <si>
    <t>AT Kat 9</t>
  </si>
  <si>
    <t>AT Kat 10</t>
  </si>
  <si>
    <t>Anzahl Ausfalltage</t>
  </si>
  <si>
    <r>
      <t xml:space="preserve">SG </t>
    </r>
    <r>
      <rPr>
        <b/>
        <vertAlign val="subscript"/>
        <sz val="11"/>
        <color theme="1"/>
        <rFont val="Arial"/>
        <family val="2"/>
        <scheme val="minor"/>
      </rPr>
      <t>pro AU-Kategorie</t>
    </r>
  </si>
  <si>
    <t>Innerbetrieblicher Transport</t>
  </si>
  <si>
    <t>Fördereinrichtungen (z.B. Kran)</t>
  </si>
  <si>
    <t>Flurfördermittel (z.B. Stapler)</t>
  </si>
  <si>
    <t>Spezifikation AT Kategorien</t>
  </si>
  <si>
    <t>Absturzunfälle (z.B. vom Dach/Gerüst etc., in Gräben/Schächte etc.)</t>
  </si>
  <si>
    <t>Stolper-, Rutsch- und Sturzunfälle
(Person bewegt sich)</t>
  </si>
  <si>
    <t>Bauliche Einrichtungen (z.B. rutschiger Boden, zufallende Türe/Tore etc.)</t>
  </si>
  <si>
    <t>AT Baustelle 
Kat 1</t>
  </si>
  <si>
    <t>AT Baustelle 
Kat 2</t>
  </si>
  <si>
    <t>AT Baustelle 
Kat 3</t>
  </si>
  <si>
    <t>AT Baustelle 
Kat 4</t>
  </si>
  <si>
    <t>AT Baustelle 
Kat 5</t>
  </si>
  <si>
    <t>AT Baustelle 
Kat 6</t>
  </si>
  <si>
    <t>AT Baustelle 
Kat 7</t>
  </si>
  <si>
    <t>AT Baustelle 
Kat 8</t>
  </si>
  <si>
    <t>Akute köperliche und seelische Belastung</t>
  </si>
  <si>
    <t>Spezifikation AT Kategorien Baustelle</t>
  </si>
  <si>
    <t>Summe aller Ausfalltage aufgrund von Arbeitsunfällen (ohne Wegeunfälle) in der Belegschaft in einem Kalenderjahr pro Arbeitsunfallkategorie</t>
  </si>
  <si>
    <t>Anregungen zur Entwicklung weiterer Kennzahlen zur Sicherheit und Gesundheit bei der Arbeit</t>
  </si>
  <si>
    <r>
      <rPr>
        <b/>
        <sz val="11"/>
        <color theme="1"/>
        <rFont val="Arial"/>
        <family val="2"/>
        <scheme val="minor"/>
      </rPr>
      <t>Sicherheitsbeauftragten-Quote</t>
    </r>
    <r>
      <rPr>
        <sz val="11"/>
        <color theme="1"/>
        <rFont val="Arial"/>
        <family val="2"/>
        <scheme val="minor"/>
      </rPr>
      <t xml:space="preserve"> = Anzahl der Sicherheitsbeauftragten im Unternehmen* bezogen auf die Gesamtanzahl der Beschäftigten im Unternehmen* </t>
    </r>
  </si>
  <si>
    <r>
      <rPr>
        <b/>
        <sz val="11"/>
        <color theme="1"/>
        <rFont val="Arial"/>
        <family val="2"/>
        <scheme val="minor"/>
      </rPr>
      <t>Zur Berechnung der Unfallhäufigkeitsziffern (bezogen auf ein Kalenderjahr und UH</t>
    </r>
    <r>
      <rPr>
        <b/>
        <vertAlign val="subscript"/>
        <sz val="11"/>
        <color theme="1"/>
        <rFont val="Arial"/>
        <family val="2"/>
        <scheme val="minor"/>
      </rPr>
      <t>AMS BAU</t>
    </r>
    <r>
      <rPr>
        <b/>
        <sz val="11"/>
        <color theme="1"/>
        <rFont val="Arial"/>
        <family val="2"/>
        <scheme val="minor"/>
      </rPr>
      <t xml:space="preserve">) bitte einfach in der Tabelle unten </t>
    </r>
    <r>
      <rPr>
        <sz val="11"/>
        <color theme="1"/>
        <rFont val="Arial"/>
        <family val="2"/>
        <scheme val="minor"/>
      </rPr>
      <t xml:space="preserve">die AU und Arbeitsstunden für jedes Kalenderjahr eintragen </t>
    </r>
    <r>
      <rPr>
        <i/>
        <sz val="11"/>
        <color theme="1"/>
        <rFont val="Arial"/>
        <family val="2"/>
        <scheme val="minor"/>
      </rPr>
      <t>(als Beispiel sind hier bereits fiktive Zahlen eingefügt worden)</t>
    </r>
    <r>
      <rPr>
        <sz val="11"/>
        <color theme="1"/>
        <rFont val="Arial"/>
        <family val="2"/>
        <scheme val="minor"/>
      </rPr>
      <t xml:space="preserve">. </t>
    </r>
    <r>
      <rPr>
        <b/>
        <sz val="11"/>
        <color theme="1"/>
        <rFont val="Arial"/>
        <family val="2"/>
        <scheme val="minor"/>
      </rPr>
      <t>Die Tabelle ist verformelt und berechnet dann automatisch die o.g. Unfallhäufigkeitsziffern</t>
    </r>
    <r>
      <rPr>
        <sz val="11"/>
        <color theme="1"/>
        <rFont val="Arial"/>
        <family val="2"/>
        <scheme val="minor"/>
      </rPr>
      <t>.</t>
    </r>
  </si>
  <si>
    <t xml:space="preserve">Diese Quote drückt aus, wie viele Arbeitsunfälle (ohne Wegeunfälle) sich in Ihrem Unternehmen bezogen auf eine Belegschaftsgröße von 1000 Vollzeitbeschäftigten ereignet haben. Somit ist der Vergleich zu anderen Unternehmen Ihrer Branche sehr einfach. </t>
  </si>
  <si>
    <r>
      <rPr>
        <b/>
        <u/>
        <sz val="11"/>
        <color theme="1"/>
        <rFont val="Arial"/>
        <family val="2"/>
        <scheme val="minor"/>
      </rPr>
      <t>Weiterführende Informationen auch zu Kennzahlen finden Sie unter den beispielhaft aufgeführten Links</t>
    </r>
    <r>
      <rPr>
        <u/>
        <sz val="11"/>
        <color theme="1"/>
        <rFont val="Arial"/>
        <family val="2"/>
        <scheme val="minor"/>
      </rPr>
      <t xml:space="preserve">. Für die Inhalte fremder Webseiten ist die BG BAU nicht verantwortlich.
</t>
    </r>
    <r>
      <rPr>
        <sz val="11"/>
        <color theme="1"/>
        <rFont val="Arial"/>
        <family val="2"/>
        <scheme val="minor"/>
      </rPr>
      <t>1) www.bgbau.de &gt; Die BG BAU &gt; Jahresberichte der BG BAU / Basisdaten
2) www.dguv.de &gt; Zahlen und Fakten (Übersicht zu Ausmaß und aktueller Entwicklung zentraler Kennzahlen)
3) www.baua.de &gt; Informationen für die Praxis &gt; Statistiken &gt; Bericht „Sicherheit und Gesundheit bei der Arbeit“ (Erhebungen zu Arbeitsunfähigkeitstagen oder Produktionsausfall nach Wirtschaftszweigen oder zu Schwerpunktthemen wie z. B. psychische Erkrankungen etc.)
4) www.dguv.de &gt; Prävention &gt; Prävention lohnt sich &gt; Wirtschaftlichkeit und Arbeitsschutz (Betrachtung der Kosten und Nutzen erbrachter Präventionsanstrengungen)</t>
    </r>
  </si>
  <si>
    <r>
      <t xml:space="preserve">Unternehmen* </t>
    </r>
    <r>
      <rPr>
        <sz val="11"/>
        <color theme="1"/>
        <rFont val="Arial"/>
        <family val="2"/>
        <scheme val="minor"/>
      </rPr>
      <t>bedeutet in den untenstehenden Beispielen jeweils, dass es neben der Quote für das Gesamtunternehmen auch sinnvoll sein kann, Quoten z.B. für die Niederlassungen etc. zu berechnen.</t>
    </r>
  </si>
  <si>
    <t xml:space="preserve">Es lassen sich auch Quoten bezüglich proaktiver Maßnahmen zur Sicherheit und Gesundheit bei der Arbeit berechnen, zum Beispiel: </t>
  </si>
  <si>
    <t>Es lassen sich auch Quoten bezüglich der Beschäftigten mit speziellen Funktionen und Qualifikationen im Bereich Sicherheit und Gesundheit bei der Arbeit berechnen, zum Beispiel:</t>
  </si>
  <si>
    <t>Lagereinrichtungen, Zubehör, Regalsysteme</t>
  </si>
  <si>
    <t>Chemische oder explosionsfähige Stoffe</t>
  </si>
  <si>
    <t>Werkzeuge und Maschinen (z.B. Trennschleifer, Baustellenkreissäge, Bodenreinigungsmaschine etc.)</t>
  </si>
  <si>
    <r>
      <t xml:space="preserve">Mit dieser Kennzahl bringen Sie zum Ausdruck, wie viele Ausfalltage aufgrund der Arbeitsunfälle (keine Wegeun-fälle) in der jeweiligen Arbeitsunfallkategorie (Quelle: DGUV Statistik Arbeitsunfallgeschehen) </t>
    </r>
    <r>
      <rPr>
        <u/>
        <sz val="11"/>
        <color theme="1"/>
        <rFont val="Arial"/>
        <family val="2"/>
        <scheme val="minor"/>
      </rPr>
      <t>auf den Baustellen</t>
    </r>
    <r>
      <rPr>
        <sz val="11"/>
        <color theme="1"/>
        <rFont val="Arial"/>
        <family val="2"/>
        <scheme val="minor"/>
      </rPr>
      <t xml:space="preserve"> entstanden sind. Diese Quote wird auf 1000 Vollarbeiter bezogen. </t>
    </r>
  </si>
  <si>
    <r>
      <t xml:space="preserve">Mit dieser Kennzahl bringen Sie zum Ausdruck, wie viele Ausfalltage aufgrund der Arbeitsunfälle (keine Wegeunfälle) in der jeweiligen Arbeitsunfallkategorie (Quelle: DGUV Statistik Arbeitsunfallgeschehen) </t>
    </r>
    <r>
      <rPr>
        <u/>
        <sz val="11"/>
        <color theme="1"/>
        <rFont val="Arial"/>
        <family val="2"/>
        <scheme val="minor"/>
      </rPr>
      <t>im Gesamtunternehmen</t>
    </r>
    <r>
      <rPr>
        <sz val="11"/>
        <color theme="1"/>
        <rFont val="Arial"/>
        <family val="2"/>
        <scheme val="minor"/>
      </rPr>
      <t xml:space="preserve"> entstanden sind. Diese Quote wird auf 1000 Vollarbeiter bezogen. </t>
    </r>
  </si>
  <si>
    <t>Dok.-Nr.: xx
Rev.-Nr.: xx</t>
  </si>
  <si>
    <r>
      <t>SG</t>
    </r>
    <r>
      <rPr>
        <b/>
        <vertAlign val="subscript"/>
        <sz val="11"/>
        <rFont val="Arial"/>
        <family val="2"/>
        <scheme val="minor"/>
      </rPr>
      <t>pro Arbeitsunfallkategorie</t>
    </r>
    <r>
      <rPr>
        <b/>
        <sz val="11"/>
        <rFont val="Arial"/>
        <family val="2"/>
        <scheme val="minor"/>
      </rPr>
      <t xml:space="preserve"> = </t>
    </r>
    <r>
      <rPr>
        <b/>
        <sz val="11"/>
        <rFont val="Calibri"/>
        <family val="2"/>
      </rPr>
      <t>∑</t>
    </r>
    <r>
      <rPr>
        <b/>
        <sz val="11"/>
        <rFont val="Arial"/>
        <family val="2"/>
        <scheme val="minor"/>
      </rPr>
      <t>AT</t>
    </r>
    <r>
      <rPr>
        <b/>
        <vertAlign val="subscript"/>
        <sz val="11"/>
        <rFont val="Arial"/>
        <family val="2"/>
        <scheme val="minor"/>
      </rPr>
      <t>pro AU-Kategorie</t>
    </r>
    <r>
      <rPr>
        <b/>
        <sz val="11"/>
        <rFont val="Arial"/>
        <family val="2"/>
        <scheme val="minor"/>
      </rPr>
      <t xml:space="preserve">  x 1000 / n</t>
    </r>
  </si>
  <si>
    <r>
      <t>SG</t>
    </r>
    <r>
      <rPr>
        <b/>
        <vertAlign val="subscript"/>
        <sz val="11"/>
        <rFont val="Arial"/>
        <family val="2"/>
        <scheme val="minor"/>
      </rPr>
      <t>pro AU-Kat.Baustelle</t>
    </r>
  </si>
  <si>
    <t>Kontakt mit elektrischem Strom, Temperatur, gefährlichen Stoffen</t>
  </si>
  <si>
    <t>Ertrinken, verschüttet, eingehüllt, begraben werden unter</t>
  </si>
  <si>
    <t>Aufprallen auf / gegen ortsfesten Gegenstand (Verletzte Person bewegt sich)</t>
  </si>
  <si>
    <t>Getroffen werden / Zusammenstoß mit einem sich bewegenden Gegenstand</t>
  </si>
  <si>
    <t>Kontakt mit scharfem, spitzem, hartem, rauem Gegenstand</t>
  </si>
  <si>
    <t>(Ein)geklemmt, (ein)gequetscht,  zerquetscht werden usw.</t>
  </si>
  <si>
    <r>
      <t xml:space="preserve">Berechnung des Unfallschweregrads pro Arbeitsunfallkategorie auf den Baustellen des Unternehmens
</t>
    </r>
    <r>
      <rPr>
        <sz val="11"/>
        <rFont val="Arial"/>
        <family val="2"/>
        <scheme val="minor"/>
      </rPr>
      <t>Arbeitsunfallkategorie "Baustellenunfälle nach Kontakt, durch den das Opfer verletzt wurde"</t>
    </r>
  </si>
  <si>
    <r>
      <t xml:space="preserve">Berechnung des Unfallschweregrads pro Arbeitsunfallkategorie im Gesamtunternehmen
</t>
    </r>
    <r>
      <rPr>
        <sz val="11"/>
        <color theme="1"/>
        <rFont val="Arial"/>
        <family val="2"/>
        <scheme val="minor"/>
      </rPr>
      <t>Arbeitsunfallkategorie "Arbeitsunfälle nach Kontakt, durch den das Opfer verletzt wurde"</t>
    </r>
  </si>
  <si>
    <t>Einwirkung durch Gewalt, Angriff, Bedrohung, Überraschung</t>
  </si>
  <si>
    <r>
      <rPr>
        <b/>
        <sz val="11"/>
        <color theme="1"/>
        <rFont val="Calibri"/>
        <family val="2"/>
      </rPr>
      <t>∑</t>
    </r>
    <r>
      <rPr>
        <b/>
        <sz val="11"/>
        <color theme="1"/>
        <rFont val="Arial"/>
        <family val="2"/>
        <scheme val="minor"/>
      </rPr>
      <t>AT</t>
    </r>
    <r>
      <rPr>
        <b/>
        <vertAlign val="subscript"/>
        <sz val="11"/>
        <color theme="1"/>
        <rFont val="Arial"/>
        <family val="2"/>
        <scheme val="minor"/>
      </rPr>
      <t>pro AU-KategorieBaustelle</t>
    </r>
  </si>
  <si>
    <t xml:space="preserve">Arbeitsunfälle mit Ausfalltagen </t>
  </si>
  <si>
    <t>AT Baustelle Kat 1</t>
  </si>
  <si>
    <t>AT Baustelle Kat 2</t>
  </si>
  <si>
    <t>AT Baustelle Kat 3</t>
  </si>
  <si>
    <t>AT Baustelle Kat 4</t>
  </si>
  <si>
    <t>AT Baustelle Kat 5</t>
  </si>
  <si>
    <t>AT Baustelle Kat 6</t>
  </si>
  <si>
    <t>AT Baustelle Kat 7</t>
  </si>
  <si>
    <t>AT Baustelle Kat 8</t>
  </si>
  <si>
    <t>Arbeitsunfälle mit Verletzun-gen, aber ohne Ausfalltage</t>
  </si>
  <si>
    <t>Spezifikation AT Kategorien Gesamtunternehmen</t>
  </si>
  <si>
    <r>
      <t xml:space="preserve">In dieser Tabelle können die Arbeitsunfälle </t>
    </r>
    <r>
      <rPr>
        <b/>
        <u/>
        <sz val="11"/>
        <rFont val="Arial"/>
        <family val="2"/>
        <scheme val="minor"/>
      </rPr>
      <t>auf den Baustellen</t>
    </r>
    <r>
      <rPr>
        <b/>
        <sz val="11"/>
        <rFont val="Arial"/>
        <family val="2"/>
        <scheme val="minor"/>
      </rPr>
      <t xml:space="preserve"> in den verschiedenen Unfallkategorien nach tödlichen Arbeitsunfällen, Arbeitsunfällen mit und ohne Ausfalltagen als auch Beinahe-Unfällen erfasst und ausgewertet werden. 
</t>
    </r>
    <r>
      <rPr>
        <sz val="11"/>
        <rFont val="Arial"/>
        <family val="2"/>
        <scheme val="minor"/>
      </rPr>
      <t xml:space="preserve">In der Tabelle wurden fiktiv (in Anlehnung an die DGUV Unfallpyramide) bereits einige Zahlen (z.B. Anzahl tödliche Arbeitsunfälle etc.) erfasst. Das untenstehende Diagramm aktualisiert sich automatisch, sobald Sie die Zahlen (z.B. Anzahl tödlicher Arbeitsunfälle etc.) ändern. </t>
    </r>
  </si>
  <si>
    <r>
      <t xml:space="preserve">In dieser Tabelle können die Arbeitsunfälle </t>
    </r>
    <r>
      <rPr>
        <b/>
        <u/>
        <sz val="11"/>
        <rFont val="Arial"/>
        <family val="2"/>
        <scheme val="minor"/>
      </rPr>
      <t>im Gesamtunternehmen</t>
    </r>
    <r>
      <rPr>
        <b/>
        <sz val="11"/>
        <rFont val="Arial"/>
        <family val="2"/>
        <scheme val="minor"/>
      </rPr>
      <t xml:space="preserve"> in den verschiedenen Unfallkategorien nach tödlichen Arbeitsunfällen, Arbeits-unfällen mit und ohne Ausfalltagen als auch Beinahe-Unfällen erfasst und ausgewertet werden. 
</t>
    </r>
    <r>
      <rPr>
        <sz val="11"/>
        <rFont val="Arial"/>
        <family val="2"/>
        <scheme val="minor"/>
      </rPr>
      <t xml:space="preserve">In der Tabelle wurden fiktiv (in Anlehnung an die DGUV Unfallpyramide) bereits einige Zahlen (z.B. Anzahl tödliche Arbeitsunfälle etc.) erfasst. Das untenstehende Diagramm aktualisiert sich automatisch, sobald Sie die Zahlen (z.B. Anzahl tödlicher Arbeitsunfälle etc.) ändern. </t>
    </r>
  </si>
  <si>
    <r>
      <rPr>
        <u/>
        <sz val="11"/>
        <color theme="1"/>
        <rFont val="Arial"/>
        <family val="2"/>
        <scheme val="minor"/>
      </rPr>
      <t xml:space="preserve">Wichtige Information: </t>
    </r>
    <r>
      <rPr>
        <sz val="11"/>
        <color theme="1"/>
        <rFont val="Arial"/>
        <family val="2"/>
        <scheme val="minor"/>
      </rPr>
      <t>Ihre eigene Unfallbelastung können Sie u. a. über das Extranet der BG BAU einsehen. Klicken Sie hierzu oben rechts auf der Internet-seite www.bgbau.de den Menüpunkt „Extranet“ an. Einmalig ist vorab eine persönliche Kennung zu beantragen.</t>
    </r>
  </si>
  <si>
    <r>
      <rPr>
        <b/>
        <sz val="10.5"/>
        <color theme="1"/>
        <rFont val="Arial"/>
        <family val="2"/>
        <scheme val="minor"/>
      </rPr>
      <t>Zur Berechnung der Unfallschweregrads pro Arbeitsunfallkategorie (SG</t>
    </r>
    <r>
      <rPr>
        <b/>
        <vertAlign val="subscript"/>
        <sz val="10.5"/>
        <color theme="1"/>
        <rFont val="Arial"/>
        <family val="2"/>
        <scheme val="minor"/>
      </rPr>
      <t>pro AU-Kategorie</t>
    </r>
    <r>
      <rPr>
        <b/>
        <sz val="10.5"/>
        <color theme="1"/>
        <rFont val="Arial"/>
        <family val="2"/>
        <scheme val="minor"/>
      </rPr>
      <t xml:space="preserve">) bitte einfach in der Tabelle unten </t>
    </r>
    <r>
      <rPr>
        <sz val="10.5"/>
        <color theme="1"/>
        <rFont val="Arial"/>
        <family val="2"/>
        <scheme val="minor"/>
      </rPr>
      <t xml:space="preserve">die Ausfalltage pro AU-Kategorie und n eintragen </t>
    </r>
    <r>
      <rPr>
        <i/>
        <sz val="10.5"/>
        <color theme="1"/>
        <rFont val="Arial"/>
        <family val="2"/>
        <scheme val="minor"/>
      </rPr>
      <t>(als Beispiel sind hier bereits fiktive Zahlen eingefügt worden)</t>
    </r>
    <r>
      <rPr>
        <sz val="10.5"/>
        <color theme="1"/>
        <rFont val="Arial"/>
        <family val="2"/>
        <scheme val="minor"/>
      </rPr>
      <t xml:space="preserve">. Die Tabelle ist verformelt und auch das Diagramm ändert sich automatisch.  </t>
    </r>
  </si>
  <si>
    <r>
      <rPr>
        <b/>
        <sz val="10.5"/>
        <color theme="1"/>
        <rFont val="Arial"/>
        <family val="2"/>
        <scheme val="minor"/>
      </rPr>
      <t>Zur Berechnung der Unfallschweregrads pro Arbeitsunfallkategorie für die Baustelle (SG</t>
    </r>
    <r>
      <rPr>
        <b/>
        <vertAlign val="subscript"/>
        <sz val="10.5"/>
        <color theme="1"/>
        <rFont val="Arial"/>
        <family val="2"/>
        <scheme val="minor"/>
      </rPr>
      <t>pro AU-Kategorie Baustelle</t>
    </r>
    <r>
      <rPr>
        <b/>
        <sz val="10.5"/>
        <color theme="1"/>
        <rFont val="Arial"/>
        <family val="2"/>
        <scheme val="minor"/>
      </rPr>
      <t xml:space="preserve">) bitte einfach in der Tabelle unten </t>
    </r>
    <r>
      <rPr>
        <sz val="10.5"/>
        <color theme="1"/>
        <rFont val="Arial"/>
        <family val="2"/>
        <scheme val="minor"/>
      </rPr>
      <t xml:space="preserve">die Ausfalltage pro AU-Kategorie Baustelle und n eintragen </t>
    </r>
    <r>
      <rPr>
        <i/>
        <sz val="10.5"/>
        <color theme="1"/>
        <rFont val="Arial"/>
        <family val="2"/>
        <scheme val="minor"/>
      </rPr>
      <t>(als Beispiel sind hier bereits fiktive Zahlen eingefügt worden)</t>
    </r>
    <r>
      <rPr>
        <sz val="10.5"/>
        <color theme="1"/>
        <rFont val="Arial"/>
        <family val="2"/>
        <scheme val="minor"/>
      </rPr>
      <t>. Die Tabelle ist verformelt und auch das Diagramm ändert sich automatisch.</t>
    </r>
  </si>
  <si>
    <r>
      <rPr>
        <b/>
        <sz val="11"/>
        <color theme="1"/>
        <rFont val="Arial"/>
        <family val="2"/>
        <scheme val="minor"/>
      </rPr>
      <t>Im Reiter "SGproUnfallkat" dieser Excel-Tabelle</t>
    </r>
    <r>
      <rPr>
        <sz val="11"/>
        <color theme="1"/>
        <rFont val="Arial"/>
        <family val="2"/>
        <scheme val="minor"/>
      </rPr>
      <t xml:space="preserve"> wurden die Unfälle mit Ausfalltagen verschiedenen Unfall-kategorien der DGUV für das Gesamtunternehmen bzw. speziell zu Baustellen zugeordnet. Details zu den ver-schiedenen Unfallkategorien können Sie beispielsweise der "DGUV Statistik Arbeitsunfallgeschehen" entneh-men, die jährlich erscheint.
</t>
    </r>
    <r>
      <rPr>
        <b/>
        <sz val="11"/>
        <color theme="1"/>
        <rFont val="Arial"/>
        <family val="2"/>
        <scheme val="minor"/>
      </rPr>
      <t>Im Reiter "Auswertung nach Unfallkategorie"</t>
    </r>
    <r>
      <rPr>
        <sz val="11"/>
        <color theme="1"/>
        <rFont val="Arial"/>
        <family val="2"/>
        <scheme val="minor"/>
      </rPr>
      <t xml:space="preserve"> können die Arbeitsunfälle in den verschiedenen Unfallkatego-rien nach tödlichen Arbeitsunfällen, Arbeitsunfällen mit und ohne Ausfalltagen als auch Beinahe-Unfällen erfasst und ausgewertet für das Gesamtunternehmen und baustellenspezifisch werden.</t>
    </r>
  </si>
  <si>
    <r>
      <rPr>
        <b/>
        <sz val="11"/>
        <color theme="1"/>
        <rFont val="Arial"/>
        <family val="2"/>
        <scheme val="minor"/>
      </rPr>
      <t xml:space="preserve">Ersthelfer-Quote </t>
    </r>
    <r>
      <rPr>
        <sz val="11"/>
        <color theme="1"/>
        <rFont val="Arial"/>
        <family val="2"/>
        <scheme val="minor"/>
      </rPr>
      <t>= Anzahl der ausgebildeten Ersthelfer im Unternehmen* bezogen auf die Gesamtanzahl der Beschäftigten im Unternehmen*
- Analog lässt sich z.B. auch die</t>
    </r>
    <r>
      <rPr>
        <u/>
        <sz val="11"/>
        <color theme="1"/>
        <rFont val="Arial"/>
        <family val="2"/>
        <scheme val="minor"/>
      </rPr>
      <t xml:space="preserve"> Brandschutzhelfer-Quote oder tätigkeitsspezifische Notfallpersonalquoten </t>
    </r>
    <r>
      <rPr>
        <sz val="11"/>
        <color theme="1"/>
        <rFont val="Arial"/>
        <family val="2"/>
        <scheme val="minor"/>
      </rPr>
      <t xml:space="preserve">berechnen. 
- </t>
    </r>
    <r>
      <rPr>
        <u/>
        <sz val="11"/>
        <color theme="1"/>
        <rFont val="Arial"/>
        <family val="2"/>
        <scheme val="minor"/>
      </rPr>
      <t>Beispiel für eine Tätigkeitsspezifische Notfallpersonalquote:</t>
    </r>
    <r>
      <rPr>
        <sz val="11"/>
        <color theme="1"/>
        <rFont val="Arial"/>
        <family val="2"/>
        <scheme val="minor"/>
      </rPr>
      <t xml:space="preserve"> Quote ausgebildete Rettungsbootsführer bezogen auf die Anzahl der Beschäftigten auf der Wasserbaustelle</t>
    </r>
  </si>
  <si>
    <r>
      <rPr>
        <b/>
        <sz val="11"/>
        <color theme="1"/>
        <rFont val="Arial"/>
        <family val="2"/>
        <scheme val="minor"/>
      </rPr>
      <t>Zur TFIR-Berechnung bitte einfach in der Tabelle unten</t>
    </r>
    <r>
      <rPr>
        <sz val="11"/>
        <color theme="1"/>
        <rFont val="Arial"/>
        <family val="2"/>
        <scheme val="minor"/>
      </rPr>
      <t xml:space="preserve"> die Werte der FAT, LTC, MTC, RWC und WH eintragen </t>
    </r>
    <r>
      <rPr>
        <i/>
        <sz val="11"/>
        <color theme="1"/>
        <rFont val="Arial"/>
        <family val="2"/>
        <scheme val="minor"/>
      </rPr>
      <t>(als Beispiel sind hier bereits fiktive Zahlen eingefügt worden)</t>
    </r>
    <r>
      <rPr>
        <sz val="11"/>
        <color theme="1"/>
        <rFont val="Arial"/>
        <family val="2"/>
        <scheme val="minor"/>
      </rPr>
      <t>. Die Tabelle ist verformelt und berechnet dann automatisch die TFIR des Kalenderjahres. Auch das Diagramm passt sich automatisch an.</t>
    </r>
  </si>
  <si>
    <t xml:space="preserve">Die TRIFR wird international häufig verwendet. Im Gegensatz zu LTIR, in der nur Unfälle mit Ausfallzeiten größer als 1 Arbeitstag und tödliche Arbeitsunfälle berücksichtigt werden, berücksichtigt die TRIFR zusätz-lich Unfälle, die medizinische Behandlungen benötigen und die Unfälle, die eine eingeschränkte Arbeits-fähigkeit nach sich ziehen. Erste-Hilfe-Fälle sind nicht Teil dieser Kennzahl. </t>
  </si>
  <si>
    <t>Durchnittliche UH-Zahl aller BG BAU Mitgliedsunternehmen</t>
  </si>
  <si>
    <r>
      <rPr>
        <b/>
        <sz val="11"/>
        <color theme="1"/>
        <rFont val="Arial"/>
        <family val="2"/>
        <scheme val="minor"/>
      </rPr>
      <t xml:space="preserve">Qualifikations-Quote pro Kalenderjahr </t>
    </r>
    <r>
      <rPr>
        <sz val="11"/>
        <color theme="1"/>
        <rFont val="Arial"/>
        <family val="2"/>
        <scheme val="minor"/>
      </rPr>
      <t xml:space="preserve">= Anzahl der Teilnehmer an der Qualifikaton X* bezogen auf die Gesamtanzahl der Beschäftigten im Unternehmen* 
</t>
    </r>
    <r>
      <rPr>
        <u/>
        <sz val="11"/>
        <color theme="1"/>
        <rFont val="Arial"/>
        <family val="2"/>
        <scheme val="minor"/>
      </rPr>
      <t>mit:</t>
    </r>
    <r>
      <rPr>
        <sz val="11"/>
        <color theme="1"/>
        <rFont val="Arial"/>
        <family val="2"/>
        <scheme val="minor"/>
      </rPr>
      <t xml:space="preserve"> X = für die Sicherheit und Gesundheit bei der Arbeit relevante Qualifizierung z.B. BG BAU Inhouse-Schulung </t>
    </r>
  </si>
  <si>
    <r>
      <rPr>
        <b/>
        <sz val="11"/>
        <color theme="1"/>
        <rFont val="Arial"/>
        <family val="2"/>
        <scheme val="minor"/>
      </rPr>
      <t>Durchschnittliche Beinahe-Unfall-Meldequote pro Beschäftigter</t>
    </r>
    <r>
      <rPr>
        <sz val="11"/>
        <color theme="1"/>
        <rFont val="Arial"/>
        <family val="2"/>
        <scheme val="minor"/>
      </rPr>
      <t xml:space="preserve"> = Anzahl der gemeldeten Beinahe-Unfälle im Unternehmen* pro Gesamtanzahl der Beschäftigten im Unternehmen*
</t>
    </r>
    <r>
      <rPr>
        <u/>
        <sz val="11"/>
        <color theme="1"/>
        <rFont val="Arial"/>
        <family val="2"/>
        <scheme val="minor"/>
      </rPr>
      <t>Anmerkung:</t>
    </r>
    <r>
      <rPr>
        <sz val="11"/>
        <color theme="1"/>
        <rFont val="Arial"/>
        <family val="2"/>
        <scheme val="minor"/>
      </rPr>
      <t xml:space="preserve"> Nur wenn Beinahe-Unfälle gemeldet werden, können die Gefahrenquellen erkannt und beseitigt werden, so dass es gar nicht erst zu einem Unfall mit Personen- oder Sachschaden kommt. Nähere Informa-tionen hierzu sind z.B. auch in der DGUV Information 206-045 beschrieben.</t>
    </r>
  </si>
  <si>
    <r>
      <t xml:space="preserve">Durchschnittliche Quote dokumentierte Begehungen pro Führungskraft </t>
    </r>
    <r>
      <rPr>
        <sz val="11"/>
        <color theme="1"/>
        <rFont val="Arial"/>
        <family val="2"/>
        <scheme val="minor"/>
      </rPr>
      <t xml:space="preserve">= Anzahl der dokumentierten Begehungen im Unternehmen* pro Gesamtanzahl der Führungskräfte im Unternehmen*
</t>
    </r>
    <r>
      <rPr>
        <u/>
        <sz val="11"/>
        <color theme="1"/>
        <rFont val="Arial"/>
        <family val="2"/>
        <scheme val="minor"/>
      </rPr>
      <t>Anmerkung:</t>
    </r>
    <r>
      <rPr>
        <sz val="11"/>
        <color theme="1"/>
        <rFont val="Arial"/>
        <family val="2"/>
        <scheme val="minor"/>
      </rPr>
      <t xml:space="preserve"> Dokumentierte Begehungen können z.B. in der ASA-Sitzung nach Mängelschwerpunkten ausge-wertet und geeignete Maßnahmen zur zukünftigen Vermeidung ergriffen werden.</t>
    </r>
  </si>
  <si>
    <t>Erfassung von Kennzahlen</t>
  </si>
  <si>
    <t>alle im Unternehmen, auch von administrativem Personal und Azubis, geleisteten Arbeitsstunden eines Jahres</t>
  </si>
  <si>
    <t>Berechnung der "Tausendpersonen-Quote" (TPQ)</t>
  </si>
  <si>
    <t>TPQ  =  AU x 1000  /  n</t>
  </si>
  <si>
    <r>
      <rPr>
        <b/>
        <sz val="11"/>
        <color theme="1"/>
        <rFont val="Arial"/>
        <family val="2"/>
        <scheme val="minor"/>
      </rPr>
      <t xml:space="preserve">Zur Berechnung der "Tausendpersonen-Quote (TPQ)" bitte einfach in der Tabelle unten </t>
    </r>
    <r>
      <rPr>
        <sz val="11"/>
        <color theme="1"/>
        <rFont val="Arial"/>
        <family val="2"/>
        <scheme val="minor"/>
      </rPr>
      <t>die AU und n für jedes Kalenderjahr eintragen (</t>
    </r>
    <r>
      <rPr>
        <i/>
        <sz val="11"/>
        <color theme="1"/>
        <rFont val="Arial"/>
        <family val="2"/>
        <scheme val="minor"/>
      </rPr>
      <t>als Beispiel sind hier bereits fiktive Zahlen eingefügt worden</t>
    </r>
    <r>
      <rPr>
        <sz val="11"/>
        <color theme="1"/>
        <rFont val="Arial"/>
        <family val="2"/>
        <scheme val="minor"/>
      </rPr>
      <t>). Die Tabelle ist verformelt und berechnet dann automatisch die TPQ pro Kalenderjahr. Auch das Diagramm passt sich automatisch an.</t>
    </r>
  </si>
  <si>
    <t>TPQ</t>
  </si>
  <si>
    <t>reale Anzahl der Vollzeit-Beschäftigten im Unternehmen am 31.12.20xx
(1 Vollzeit-Beschäftigter = 40 Stunden/Woche)</t>
  </si>
  <si>
    <t>reale Anzahl der Vollzeit-Beschäftigten im Unternehmen am 31.12.xxxx
(1 Vollzeit-Beschäftigter = 40 Stunden / Woche)</t>
  </si>
  <si>
    <t>Mit dieser Kennzahl bringen Sie zum Ausdruck, wie viele Ausfalltage aufgrund von Arbeitsunfällen (ohne Wegeunfälle) in Ihrer Belegschaft in einem Jahr entstanden sind. Diese Quote wird auf 1000 Vollzeitbeschäftigte bezogen. So können Sie sich neben dem internen Nutzen auch mit anderen Unternehmen oder mit dem Branchenschnitt vergleichen und sehen, wo Sie mit Ihrem Unternehmen stehen.</t>
  </si>
  <si>
    <r>
      <rPr>
        <b/>
        <sz val="11"/>
        <color theme="1"/>
        <rFont val="Arial"/>
        <family val="2"/>
        <scheme val="minor"/>
      </rPr>
      <t xml:space="preserve">Zur Berechnung der Unfallschweregrads im Unternehmen (SG) bitte einfach in der Tabelle unten </t>
    </r>
    <r>
      <rPr>
        <sz val="11"/>
        <color theme="1"/>
        <rFont val="Arial"/>
        <family val="2"/>
        <scheme val="minor"/>
      </rPr>
      <t xml:space="preserve">die Ausfalltage und Vollzeitbeschäftigte des Kalenderjahres eintragen </t>
    </r>
    <r>
      <rPr>
        <i/>
        <sz val="11"/>
        <color theme="1"/>
        <rFont val="Arial"/>
        <family val="2"/>
        <scheme val="minor"/>
      </rPr>
      <t>(als Beispiel sind hier bereits fiktive Zahlen eingefügt worden)</t>
    </r>
    <r>
      <rPr>
        <sz val="11"/>
        <color theme="1"/>
        <rFont val="Arial"/>
        <family val="2"/>
        <scheme val="minor"/>
      </rPr>
      <t>. Die Tabelle ist verformelt und berechnet dann automatisch SG. Auch das Diagramm passt sich automatisch an.</t>
    </r>
  </si>
  <si>
    <t xml:space="preserve">Mit dieser Kennzahl bringen Sie zum Ausdruck, wie viele Ausfalltage aufgrund des jeweiligen Arbeitsunfalls (kein Wegeunfall) entstanden sind. Diese Quote wird auf 1000 Vollzeitbeschäftigte bezogen. Dabei wird davon ausgegangen, dass ein leichterer Unfall entsprechend wenige Ausfalltage generiert. Eine sinkende Anzahl der Ausfalltage pro Unfall bedeutet also (bei gleichbleibender Unfallhäufigkeit) eine Steigerung der Arbeitsschutzleistung. </t>
  </si>
  <si>
    <t>reale Anzahl der Vollzeit-Beschäftigten im Unternehmen am Unfalltag
(1 Vollzeit-Beschäftigter = 40 Stunden / Woche)</t>
  </si>
  <si>
    <r>
      <rPr>
        <b/>
        <sz val="11"/>
        <color theme="1"/>
        <rFont val="Arial"/>
        <family val="2"/>
        <scheme val="minor"/>
      </rPr>
      <t>Zur Berechnung der Unfallschweregrads pro Arbeitsunfall (SG</t>
    </r>
    <r>
      <rPr>
        <b/>
        <vertAlign val="subscript"/>
        <sz val="11"/>
        <color theme="1"/>
        <rFont val="Arial"/>
        <family val="2"/>
        <scheme val="minor"/>
      </rPr>
      <t>pro Arbeitsunfall</t>
    </r>
    <r>
      <rPr>
        <b/>
        <sz val="11"/>
        <color theme="1"/>
        <rFont val="Arial"/>
        <family val="2"/>
        <scheme val="minor"/>
      </rPr>
      <t xml:space="preserve">) bitte einfach in der Tabelle unten </t>
    </r>
    <r>
      <rPr>
        <sz val="11"/>
        <color theme="1"/>
        <rFont val="Arial"/>
        <family val="2"/>
        <scheme val="minor"/>
      </rPr>
      <t xml:space="preserve">die Ausfalltage und Vollzeitbeschäftiger des Kalenderjahres eintragen </t>
    </r>
    <r>
      <rPr>
        <i/>
        <sz val="11"/>
        <color theme="1"/>
        <rFont val="Arial"/>
        <family val="2"/>
        <scheme val="minor"/>
      </rPr>
      <t>(als Beispiel sind hier bereits fiktive Zahlen eingefügt worden)</t>
    </r>
    <r>
      <rPr>
        <sz val="11"/>
        <color theme="1"/>
        <rFont val="Arial"/>
        <family val="2"/>
        <scheme val="minor"/>
      </rPr>
      <t>. Die Tabelle ist verformelt und berechnet dann automatisch SGpro Arbeitsunfall. Auch das Diagramm passt sich automatisch an.</t>
    </r>
  </si>
  <si>
    <t>Anzahl der Vollarbeiter im Unternehmen am 31.12.xxxx</t>
  </si>
  <si>
    <t>Anzahl der Vollarbeiter auf den Baustellen im Unternehmen am 31.12.xxxx</t>
  </si>
  <si>
    <t>Akute körperliche und seelische Belastung</t>
  </si>
  <si>
    <t>Im Reiter "UH-Zahl AMS BAU" ist die Berechung der gemittelten UH-Zahl der letzten drei Kalenderjahre dargestellt. 
Die UH-Zahl ist für die "Jährliche Mitteilung der internen Überprüfung des AMS BAU für das Jahr 20xx" zu verwenden.</t>
  </si>
  <si>
    <t>Die anderen Reiter geben Hilfen, weitere Kennzahlen im Rahmen eines Arbeitsschutzmanagementsystems zu ermitteln. 
Hierzu zählen z.B. 
- national etablierte Kennnzahlen wie TPQ und SG
- international etablierte Kennzahlen wie LTIF und TRIFR</t>
  </si>
  <si>
    <t>LTIF = (FAT + LTC) x 106 /  WH</t>
  </si>
  <si>
    <t>Die LTIF wird international häufig verwendet. Sie drückt aus wie viele Unfälle mit Ausfallzeiten von mehr als einem Tag bezogen auf 1 Millionen Arbeitsstunden sich ereignet haben.  Zu den geleisteten Arbeitsstunden zählen auch die geleisteten Arbeitssunden, die durch von Ihnen beauftragten Nachunternehmen, auf den Baustellen/Objekten geleistet werden.</t>
  </si>
  <si>
    <t>Zur LTIF-Berechnung bitte einfach in der Tabelle unten die Werte der FAT, LTC und WH eintragen (als Beispiel sind hier bereits fiktive Zahlen eingefügt worden). Die Tabelle ist verformelt und berechnet dann automatisch die LTIF des Kalenderjahres. Auch das Diagramm passt sich automatisch an.</t>
  </si>
  <si>
    <r>
      <t>UH</t>
    </r>
    <r>
      <rPr>
        <b/>
        <vertAlign val="subscript"/>
        <sz val="11"/>
        <color theme="1"/>
        <rFont val="Arial"/>
        <family val="2"/>
        <scheme val="minor"/>
      </rPr>
      <t>AMS BAU</t>
    </r>
    <r>
      <rPr>
        <b/>
        <sz val="11"/>
        <color theme="1"/>
        <rFont val="Arial"/>
        <family val="2"/>
        <scheme val="minor"/>
      </rPr>
      <t xml:space="preserve"> = ∑AU</t>
    </r>
    <r>
      <rPr>
        <b/>
        <vertAlign val="subscript"/>
        <sz val="11"/>
        <color theme="1"/>
        <rFont val="Arial"/>
        <family val="2"/>
        <scheme val="minor"/>
      </rPr>
      <t xml:space="preserve"> der letzten 3 Kalenderjahre</t>
    </r>
    <r>
      <rPr>
        <b/>
        <sz val="11"/>
        <color theme="1"/>
        <rFont val="Arial"/>
        <family val="2"/>
        <scheme val="minor"/>
      </rPr>
      <t xml:space="preserve"> x 10</t>
    </r>
    <r>
      <rPr>
        <b/>
        <vertAlign val="superscript"/>
        <sz val="11"/>
        <color theme="1"/>
        <rFont val="Arial"/>
        <family val="2"/>
        <scheme val="minor"/>
      </rPr>
      <t>6</t>
    </r>
    <r>
      <rPr>
        <b/>
        <sz val="11"/>
        <color theme="1"/>
        <rFont val="Arial"/>
        <family val="2"/>
        <scheme val="minor"/>
      </rPr>
      <t xml:space="preserve"> / </t>
    </r>
    <r>
      <rPr>
        <b/>
        <sz val="11"/>
        <color theme="1"/>
        <rFont val="Calibri"/>
        <family val="2"/>
      </rPr>
      <t>∑</t>
    </r>
    <r>
      <rPr>
        <b/>
        <sz val="11"/>
        <color theme="1"/>
        <rFont val="Arial"/>
        <family val="2"/>
      </rPr>
      <t xml:space="preserve"> Arbeitsstunden </t>
    </r>
    <r>
      <rPr>
        <b/>
        <vertAlign val="subscript"/>
        <sz val="11"/>
        <color theme="1"/>
        <rFont val="Arial"/>
        <family val="2"/>
      </rPr>
      <t>der letzten 3 Kalenderjahre</t>
    </r>
  </si>
  <si>
    <t>Berechnung der Unfallhäufigkeitsziffer im AMS BAU Verfahren
(Mittel der letzten 3 Kalenderjahre)</t>
  </si>
  <si>
    <t>BG BAU: 6. Auflage AMS BAU, Stand: 09/2022, Handlungshilfe 02.02, aktualisiert 02-2024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</si>
</sst>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Arial"/>
      <family val="2"/>
      <scheme val="minor"/>
    </font>
    <font>
      <sz val="11"/>
      <color theme="1"/>
      <name val="Arial"/>
      <family val="2"/>
      <scheme val="minor"/>
    </font>
    <font>
      <sz val="11"/>
      <color theme="0"/>
      <name val="Arial"/>
      <family val="2"/>
      <scheme val="minor"/>
    </font>
    <font>
      <sz val="11"/>
      <name val="Arial"/>
      <family val="2"/>
      <scheme val="minor"/>
    </font>
    <font>
      <b/>
      <sz val="11"/>
      <color theme="6"/>
      <name val="Arial"/>
      <family val="2"/>
      <scheme val="minor"/>
    </font>
    <font>
      <sz val="11"/>
      <color theme="3" tint="0.39994506668294322"/>
      <name val="Arial"/>
      <family val="2"/>
      <scheme val="minor"/>
    </font>
    <font>
      <sz val="11"/>
      <color theme="1"/>
      <name val="Arial"/>
      <family val="2"/>
      <scheme val="minor"/>
    </font>
    <font>
      <b/>
      <sz val="11"/>
      <color theme="1"/>
      <name val="Arial"/>
      <family val="2"/>
      <scheme val="minor"/>
    </font>
    <font>
      <sz val="11"/>
      <color rgb="FF000000"/>
      <name val="Arial"/>
      <family val="2"/>
    </font>
    <font>
      <b/>
      <sz val="11"/>
      <color rgb="FF000000"/>
      <name val="Arial"/>
      <family val="2"/>
    </font>
    <font>
      <u/>
      <sz val="11"/>
      <color theme="1"/>
      <name val="Arial"/>
      <family val="2"/>
      <scheme val="minor"/>
    </font>
    <font>
      <b/>
      <vertAlign val="superscript"/>
      <sz val="11"/>
      <color theme="1"/>
      <name val="Arial"/>
      <family val="2"/>
      <scheme val="minor"/>
    </font>
    <font>
      <b/>
      <vertAlign val="subscript"/>
      <sz val="11"/>
      <color theme="1"/>
      <name val="Arial"/>
      <family val="2"/>
      <scheme val="minor"/>
    </font>
    <font>
      <b/>
      <sz val="11"/>
      <color theme="1"/>
      <name val="Calibri"/>
      <family val="2"/>
    </font>
    <font>
      <b/>
      <sz val="11"/>
      <color theme="1"/>
      <name val="Arial"/>
      <family val="2"/>
    </font>
    <font>
      <b/>
      <vertAlign val="subscript"/>
      <sz val="11"/>
      <color theme="1"/>
      <name val="Arial"/>
      <family val="2"/>
    </font>
    <font>
      <i/>
      <sz val="11"/>
      <color theme="1"/>
      <name val="Arial"/>
      <family val="2"/>
      <scheme val="minor"/>
    </font>
    <font>
      <b/>
      <sz val="12"/>
      <color theme="1"/>
      <name val="Arial"/>
      <family val="2"/>
      <scheme val="minor"/>
    </font>
    <font>
      <b/>
      <vertAlign val="subscript"/>
      <sz val="12"/>
      <color theme="1"/>
      <name val="Arial"/>
      <family val="2"/>
      <scheme val="minor"/>
    </font>
    <font>
      <b/>
      <i/>
      <sz val="12"/>
      <color theme="1"/>
      <name val="Arial"/>
      <family val="2"/>
      <scheme val="minor"/>
    </font>
    <font>
      <b/>
      <sz val="14"/>
      <color theme="1"/>
      <name val="Arial"/>
      <family val="2"/>
      <scheme val="minor"/>
    </font>
    <font>
      <b/>
      <sz val="10"/>
      <color theme="1"/>
      <name val="Arial"/>
      <family val="2"/>
      <scheme val="minor"/>
    </font>
    <font>
      <sz val="8"/>
      <name val="Arial"/>
      <family val="2"/>
      <scheme val="minor"/>
    </font>
    <font>
      <sz val="10"/>
      <color theme="1"/>
      <name val="Arial"/>
      <family val="2"/>
      <scheme val="minor"/>
    </font>
    <font>
      <sz val="12"/>
      <color theme="1"/>
      <name val="Arial"/>
      <family val="2"/>
      <scheme val="minor"/>
    </font>
    <font>
      <b/>
      <sz val="11"/>
      <color theme="0"/>
      <name val="Arial"/>
      <family val="2"/>
      <scheme val="minor"/>
    </font>
    <font>
      <b/>
      <vertAlign val="superscript"/>
      <sz val="11"/>
      <color theme="0"/>
      <name val="Arial"/>
      <family val="2"/>
      <scheme val="minor"/>
    </font>
    <font>
      <b/>
      <sz val="10.5"/>
      <color theme="0"/>
      <name val="Arial"/>
      <family val="2"/>
      <scheme val="minor"/>
    </font>
    <font>
      <b/>
      <sz val="11"/>
      <name val="Arial"/>
      <family val="2"/>
      <scheme val="minor"/>
    </font>
    <font>
      <b/>
      <sz val="10.5"/>
      <name val="Arial"/>
      <family val="2"/>
      <scheme val="minor"/>
    </font>
    <font>
      <b/>
      <u/>
      <sz val="11"/>
      <color theme="1"/>
      <name val="Arial"/>
      <family val="2"/>
      <scheme val="minor"/>
    </font>
    <font>
      <b/>
      <vertAlign val="subscript"/>
      <sz val="11"/>
      <name val="Arial"/>
      <family val="2"/>
      <scheme val="minor"/>
    </font>
    <font>
      <b/>
      <sz val="9"/>
      <color theme="1"/>
      <name val="Arial"/>
      <family val="2"/>
      <scheme val="minor"/>
    </font>
    <font>
      <b/>
      <sz val="11"/>
      <name val="Calibri"/>
      <family val="2"/>
    </font>
    <font>
      <b/>
      <sz val="10.5"/>
      <color theme="1"/>
      <name val="Arial"/>
      <family val="2"/>
      <scheme val="minor"/>
    </font>
    <font>
      <b/>
      <vertAlign val="subscript"/>
      <sz val="10.5"/>
      <color theme="1"/>
      <name val="Arial"/>
      <family val="2"/>
      <scheme val="minor"/>
    </font>
    <font>
      <sz val="10.5"/>
      <color theme="1"/>
      <name val="Arial"/>
      <family val="2"/>
      <scheme val="minor"/>
    </font>
    <font>
      <i/>
      <sz val="10.5"/>
      <color theme="1"/>
      <name val="Arial"/>
      <family val="2"/>
      <scheme val="minor"/>
    </font>
    <font>
      <b/>
      <u/>
      <sz val="11"/>
      <name val="Arial"/>
      <family val="2"/>
      <scheme val="minor"/>
    </font>
    <font>
      <sz val="9"/>
      <color theme="1"/>
      <name val="Arial"/>
      <family val="2"/>
      <scheme val="minor"/>
    </font>
    <font>
      <i/>
      <sz val="9"/>
      <color theme="1"/>
      <name val="Arial"/>
      <family val="2"/>
      <scheme val="minor"/>
    </font>
    <font>
      <b/>
      <sz val="13"/>
      <color theme="1"/>
      <name val="Arial"/>
      <family val="2"/>
      <scheme val="minor"/>
    </font>
  </fonts>
  <fills count="20">
    <fill>
      <patternFill patternType="none"/>
    </fill>
    <fill>
      <patternFill patternType="gray125"/>
    </fill>
    <fill>
      <patternFill patternType="solid">
        <fgColor rgb="FFF2F2F2"/>
      </patternFill>
    </fill>
    <fill>
      <patternFill patternType="solid">
        <fgColor theme="3" tint="0.59996337778862885"/>
        <bgColor indexed="64"/>
      </patternFill>
    </fill>
    <fill>
      <patternFill patternType="solid">
        <fgColor theme="2" tint="-0.24994659260841701"/>
        <bgColor indexed="64"/>
      </patternFill>
    </fill>
    <fill>
      <patternFill patternType="solid">
        <fgColor theme="5" tint="0.39994506668294322"/>
        <bgColor indexed="64"/>
      </patternFill>
    </fill>
    <fill>
      <patternFill patternType="solid">
        <fgColor theme="3"/>
        <bgColor indexed="64"/>
      </patternFill>
    </fill>
    <fill>
      <patternFill patternType="solid">
        <fgColor theme="3" tint="0.79998168889431442"/>
        <bgColor indexed="64"/>
      </patternFill>
    </fill>
    <fill>
      <patternFill patternType="solid">
        <fgColor rgb="FFFFFFCC"/>
        <bgColor indexed="64"/>
      </patternFill>
    </fill>
    <fill>
      <patternFill patternType="solid">
        <fgColor theme="7" tint="0.79998168889431442"/>
        <bgColor indexed="64"/>
      </patternFill>
    </fill>
    <fill>
      <patternFill patternType="solid">
        <fgColor theme="0"/>
        <bgColor indexed="64"/>
      </patternFill>
    </fill>
    <fill>
      <patternFill patternType="solid">
        <fgColor theme="8" tint="0.79998168889431442"/>
        <bgColor indexed="64"/>
      </patternFill>
    </fill>
    <fill>
      <patternFill patternType="solid">
        <fgColor theme="9" tint="-0.249977111117893"/>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rgb="FFCCECFF"/>
        <bgColor indexed="64"/>
      </patternFill>
    </fill>
    <fill>
      <patternFill patternType="solid">
        <fgColor theme="6" tint="0.59999389629810485"/>
        <bgColor indexed="64"/>
      </patternFill>
    </fill>
    <fill>
      <patternFill patternType="solid">
        <fgColor theme="3" tint="-0.249977111117893"/>
        <bgColor indexed="64"/>
      </patternFill>
    </fill>
  </fills>
  <borders count="84">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double">
        <color theme="3" tint="0.39994506668294322"/>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theme="2"/>
      </bottom>
      <diagonal/>
    </border>
    <border>
      <left style="thin">
        <color theme="2"/>
      </left>
      <right/>
      <top/>
      <bottom style="medium">
        <color indexed="64"/>
      </bottom>
      <diagonal/>
    </border>
    <border>
      <left style="thin">
        <color theme="2"/>
      </left>
      <right/>
      <top style="thin">
        <color theme="2"/>
      </top>
      <bottom style="thin">
        <color theme="2"/>
      </bottom>
      <diagonal/>
    </border>
    <border>
      <left/>
      <right/>
      <top style="thin">
        <color theme="2"/>
      </top>
      <bottom style="thin">
        <color theme="2"/>
      </bottom>
      <diagonal/>
    </border>
    <border>
      <left style="medium">
        <color theme="2"/>
      </left>
      <right/>
      <top/>
      <bottom/>
      <diagonal/>
    </border>
    <border>
      <left/>
      <right style="medium">
        <color theme="2"/>
      </right>
      <top/>
      <bottom/>
      <diagonal/>
    </border>
    <border>
      <left style="medium">
        <color theme="2"/>
      </left>
      <right style="thin">
        <color theme="2"/>
      </right>
      <top style="thin">
        <color theme="2"/>
      </top>
      <bottom style="thin">
        <color theme="2"/>
      </bottom>
      <diagonal/>
    </border>
    <border>
      <left/>
      <right style="medium">
        <color theme="2"/>
      </right>
      <top style="thin">
        <color theme="2"/>
      </top>
      <bottom style="thin">
        <color theme="2"/>
      </bottom>
      <diagonal/>
    </border>
    <border>
      <left style="medium">
        <color theme="2"/>
      </left>
      <right/>
      <top/>
      <bottom style="medium">
        <color theme="2"/>
      </bottom>
      <diagonal/>
    </border>
    <border>
      <left style="thin">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style="medium">
        <color indexed="64"/>
      </left>
      <right/>
      <top style="medium">
        <color indexed="64"/>
      </top>
      <bottom style="thin">
        <color theme="2" tint="-0.249977111117893"/>
      </bottom>
      <diagonal/>
    </border>
    <border>
      <left/>
      <right/>
      <top style="medium">
        <color indexed="64"/>
      </top>
      <bottom style="thin">
        <color theme="2" tint="-0.249977111117893"/>
      </bottom>
      <diagonal/>
    </border>
    <border>
      <left/>
      <right style="medium">
        <color indexed="64"/>
      </right>
      <top style="medium">
        <color indexed="64"/>
      </top>
      <bottom style="thin">
        <color theme="2" tint="-0.249977111117893"/>
      </bottom>
      <diagonal/>
    </border>
    <border>
      <left style="thin">
        <color theme="2" tint="-0.249977111117893"/>
      </left>
      <right style="thin">
        <color indexed="64"/>
      </right>
      <top style="thin">
        <color theme="2" tint="-0.249977111117893"/>
      </top>
      <bottom/>
      <diagonal/>
    </border>
    <border>
      <left style="thin">
        <color indexed="64"/>
      </left>
      <right style="thin">
        <color indexed="64"/>
      </right>
      <top style="thin">
        <color theme="2" tint="-0.249977111117893"/>
      </top>
      <bottom/>
      <diagonal/>
    </border>
    <border>
      <left style="thin">
        <color indexed="64"/>
      </left>
      <right style="medium">
        <color indexed="64"/>
      </right>
      <top style="thin">
        <color theme="2" tint="-0.249977111117893"/>
      </top>
      <bottom/>
      <diagonal/>
    </border>
    <border>
      <left style="medium">
        <color indexed="64"/>
      </left>
      <right/>
      <top style="thin">
        <color theme="2" tint="-0.249977111117893"/>
      </top>
      <bottom/>
      <diagonal/>
    </border>
    <border>
      <left style="medium">
        <color indexed="64"/>
      </left>
      <right style="thin">
        <color theme="2" tint="-0.249977111117893"/>
      </right>
      <top style="thin">
        <color theme="2" tint="-0.249977111117893"/>
      </top>
      <bottom style="medium">
        <color indexed="64"/>
      </bottom>
      <diagonal/>
    </border>
    <border>
      <left/>
      <right style="thin">
        <color indexed="64"/>
      </right>
      <top style="thin">
        <color theme="2" tint="-0.249977111117893"/>
      </top>
      <bottom style="medium">
        <color indexed="64"/>
      </bottom>
      <diagonal/>
    </border>
    <border>
      <left style="thin">
        <color indexed="64"/>
      </left>
      <right style="thin">
        <color indexed="64"/>
      </right>
      <top style="thin">
        <color theme="2" tint="-0.249977111117893"/>
      </top>
      <bottom style="medium">
        <color indexed="64"/>
      </bottom>
      <diagonal/>
    </border>
    <border>
      <left style="thin">
        <color indexed="64"/>
      </left>
      <right style="medium">
        <color indexed="64"/>
      </right>
      <top style="thin">
        <color theme="2" tint="-0.249977111117893"/>
      </top>
      <bottom style="medium">
        <color indexed="64"/>
      </bottom>
      <diagonal/>
    </border>
    <border>
      <left style="medium">
        <color indexed="64"/>
      </left>
      <right style="thin">
        <color theme="2"/>
      </right>
      <top style="thin">
        <color theme="2"/>
      </top>
      <bottom style="thin">
        <color theme="2"/>
      </bottom>
      <diagonal/>
    </border>
    <border>
      <left/>
      <right style="medium">
        <color indexed="64"/>
      </right>
      <top style="thin">
        <color theme="2"/>
      </top>
      <bottom style="thin">
        <color theme="2"/>
      </bottom>
      <diagonal/>
    </border>
    <border>
      <left/>
      <right/>
      <top style="thin">
        <color theme="2" tint="-0.249977111117893"/>
      </top>
      <bottom style="thin">
        <color theme="2" tint="-0.249977111117893"/>
      </bottom>
      <diagonal/>
    </border>
    <border>
      <left/>
      <right style="medium">
        <color indexed="64"/>
      </right>
      <top style="thin">
        <color theme="2" tint="-0.249977111117893"/>
      </top>
      <bottom style="thin">
        <color theme="2" tint="-0.249977111117893"/>
      </bottom>
      <diagonal/>
    </border>
    <border>
      <left style="medium">
        <color indexed="64"/>
      </left>
      <right style="medium">
        <color indexed="64"/>
      </right>
      <top style="medium">
        <color indexed="64"/>
      </top>
      <bottom style="medium">
        <color indexed="64"/>
      </bottom>
      <diagonal/>
    </border>
    <border>
      <left/>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top/>
      <bottom style="thin">
        <color indexed="64"/>
      </bottom>
      <diagonal/>
    </border>
    <border>
      <left style="medium">
        <color indexed="64"/>
      </left>
      <right/>
      <top style="thin">
        <color indexed="64"/>
      </top>
      <bottom/>
      <diagonal/>
    </border>
    <border>
      <left/>
      <right/>
      <top style="thin">
        <color indexed="64"/>
      </top>
      <bottom/>
      <diagonal/>
    </border>
    <border>
      <left/>
      <right/>
      <top style="thin">
        <color indexed="64"/>
      </top>
      <bottom style="medium">
        <color indexed="64"/>
      </bottom>
      <diagonal/>
    </border>
    <border>
      <left style="thin">
        <color indexed="64"/>
      </left>
      <right/>
      <top style="thin">
        <color indexed="64"/>
      </top>
      <bottom/>
      <diagonal/>
    </border>
    <border>
      <left style="medium">
        <color indexed="64"/>
      </left>
      <right style="medium">
        <color indexed="64"/>
      </right>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s>
  <cellStyleXfs count="8">
    <xf numFmtId="0" fontId="0" fillId="0" borderId="0"/>
    <xf numFmtId="0" fontId="3" fillId="3" borderId="0" applyNumberFormat="0" applyBorder="0" applyAlignment="0" applyProtection="0"/>
    <xf numFmtId="0" fontId="2" fillId="5" borderId="0" applyNumberFormat="0" applyBorder="0" applyAlignment="0" applyProtection="0"/>
    <xf numFmtId="0" fontId="3" fillId="4" borderId="0" applyNumberFormat="0" applyBorder="0" applyAlignment="0" applyProtection="0"/>
    <xf numFmtId="0" fontId="2" fillId="6" borderId="1" applyNumberFormat="0" applyAlignment="0" applyProtection="0"/>
    <xf numFmtId="0" fontId="4" fillId="2" borderId="1" applyNumberFormat="0" applyAlignment="0" applyProtection="0"/>
    <xf numFmtId="0" fontId="5" fillId="0" borderId="3" applyNumberFormat="0" applyFill="0" applyAlignment="0" applyProtection="0"/>
    <xf numFmtId="0" fontId="1" fillId="7" borderId="2" applyNumberFormat="0" applyFont="0" applyAlignment="0" applyProtection="0"/>
  </cellStyleXfs>
  <cellXfs count="337">
    <xf numFmtId="0" fontId="0" fillId="0" borderId="0" xfId="0"/>
    <xf numFmtId="0" fontId="6" fillId="0" borderId="0" xfId="0" applyFont="1"/>
    <xf numFmtId="0" fontId="7" fillId="0" borderId="7" xfId="0" applyFont="1" applyBorder="1" applyAlignment="1">
      <alignment vertical="center"/>
    </xf>
    <xf numFmtId="0" fontId="7" fillId="0" borderId="7" xfId="0" applyFont="1" applyBorder="1"/>
    <xf numFmtId="3" fontId="16" fillId="0" borderId="10" xfId="0" applyNumberFormat="1" applyFont="1" applyBorder="1" applyAlignment="1">
      <alignment horizontal="center" vertical="center"/>
    </xf>
    <xf numFmtId="0" fontId="16" fillId="0" borderId="10" xfId="0" applyFont="1" applyBorder="1" applyAlignment="1">
      <alignment horizontal="center" vertical="center"/>
    </xf>
    <xf numFmtId="0" fontId="0" fillId="0" borderId="13" xfId="0" applyBorder="1"/>
    <xf numFmtId="3" fontId="16" fillId="0" borderId="17" xfId="0" applyNumberFormat="1" applyFont="1" applyBorder="1" applyAlignment="1">
      <alignment horizontal="center" vertical="center"/>
    </xf>
    <xf numFmtId="0" fontId="16" fillId="0" borderId="17" xfId="0" applyFont="1" applyBorder="1" applyAlignment="1">
      <alignment horizontal="center" vertical="center"/>
    </xf>
    <xf numFmtId="0" fontId="7" fillId="8" borderId="14" xfId="0" applyFont="1" applyFill="1" applyBorder="1" applyAlignment="1">
      <alignment wrapText="1"/>
    </xf>
    <xf numFmtId="0" fontId="7" fillId="8" borderId="15" xfId="0" applyFont="1" applyFill="1" applyBorder="1" applyAlignment="1">
      <alignment wrapText="1"/>
    </xf>
    <xf numFmtId="0" fontId="7" fillId="8" borderId="16" xfId="0" applyFont="1" applyFill="1" applyBorder="1" applyAlignment="1">
      <alignment horizontal="left" vertical="center"/>
    </xf>
    <xf numFmtId="0" fontId="7" fillId="8" borderId="18" xfId="0" applyFont="1" applyFill="1" applyBorder="1" applyAlignment="1">
      <alignment horizontal="left" vertical="center"/>
    </xf>
    <xf numFmtId="0" fontId="17" fillId="0" borderId="0" xfId="0" applyFont="1"/>
    <xf numFmtId="2" fontId="19" fillId="0" borderId="0" xfId="0" applyNumberFormat="1" applyFont="1"/>
    <xf numFmtId="0" fontId="0" fillId="10" borderId="0" xfId="0" applyFill="1" applyAlignment="1">
      <alignment horizontal="left" vertical="center" wrapText="1"/>
    </xf>
    <xf numFmtId="0" fontId="7" fillId="0" borderId="22" xfId="0" applyFont="1" applyBorder="1" applyAlignment="1">
      <alignment vertical="center"/>
    </xf>
    <xf numFmtId="0" fontId="23" fillId="0" borderId="13" xfId="0" applyFont="1" applyBorder="1"/>
    <xf numFmtId="0" fontId="21" fillId="0" borderId="14" xfId="0" applyFont="1" applyBorder="1" applyAlignment="1">
      <alignment horizontal="center"/>
    </xf>
    <xf numFmtId="0" fontId="21" fillId="0" borderId="15" xfId="0" applyFont="1" applyBorder="1" applyAlignment="1">
      <alignment horizontal="center"/>
    </xf>
    <xf numFmtId="0" fontId="23" fillId="0" borderId="0" xfId="0" applyFont="1"/>
    <xf numFmtId="0" fontId="21" fillId="0" borderId="16" xfId="0" applyFont="1" applyBorder="1" applyAlignment="1">
      <alignment horizontal="left" vertical="center"/>
    </xf>
    <xf numFmtId="0" fontId="23" fillId="0" borderId="10" xfId="0" applyFont="1" applyBorder="1" applyAlignment="1">
      <alignment horizontal="center"/>
    </xf>
    <xf numFmtId="0" fontId="23" fillId="0" borderId="17" xfId="0" applyFont="1" applyBorder="1" applyAlignment="1">
      <alignment horizontal="center"/>
    </xf>
    <xf numFmtId="0" fontId="7" fillId="10" borderId="16" xfId="0" applyFont="1" applyFill="1" applyBorder="1" applyAlignment="1">
      <alignment horizontal="left" vertical="center"/>
    </xf>
    <xf numFmtId="2" fontId="0" fillId="0" borderId="19" xfId="0" applyNumberFormat="1" applyBorder="1" applyAlignment="1">
      <alignment horizontal="center" vertical="center"/>
    </xf>
    <xf numFmtId="2" fontId="0" fillId="0" borderId="20" xfId="0" applyNumberFormat="1" applyBorder="1" applyAlignment="1">
      <alignment horizontal="center" vertical="center"/>
    </xf>
    <xf numFmtId="0" fontId="7" fillId="10" borderId="16" xfId="0" applyFont="1" applyFill="1" applyBorder="1" applyAlignment="1">
      <alignment horizontal="left" vertical="center" wrapText="1"/>
    </xf>
    <xf numFmtId="0" fontId="7" fillId="10" borderId="21" xfId="0" applyFont="1" applyFill="1" applyBorder="1" applyAlignment="1">
      <alignment horizontal="center" vertical="center" wrapText="1"/>
    </xf>
    <xf numFmtId="2" fontId="0" fillId="0" borderId="0" xfId="0" applyNumberFormat="1" applyAlignment="1">
      <alignment horizontal="center" vertical="center"/>
    </xf>
    <xf numFmtId="0" fontId="7" fillId="0" borderId="0" xfId="0" applyFont="1" applyAlignment="1">
      <alignment horizontal="left" vertical="center"/>
    </xf>
    <xf numFmtId="0" fontId="21" fillId="0" borderId="0" xfId="0" applyFont="1" applyAlignment="1">
      <alignment horizontal="left" vertical="center"/>
    </xf>
    <xf numFmtId="0" fontId="21" fillId="0" borderId="0" xfId="0" applyFont="1" applyAlignment="1">
      <alignment horizontal="center"/>
    </xf>
    <xf numFmtId="0" fontId="23" fillId="0" borderId="0" xfId="0" applyFont="1" applyAlignment="1">
      <alignment horizontal="center"/>
    </xf>
    <xf numFmtId="0" fontId="21" fillId="0" borderId="6" xfId="0" applyFont="1" applyBorder="1" applyAlignment="1">
      <alignment vertical="center" wrapText="1"/>
    </xf>
    <xf numFmtId="0" fontId="7" fillId="10" borderId="26" xfId="0" applyFont="1" applyFill="1" applyBorder="1" applyAlignment="1">
      <alignment horizontal="center" vertical="center" wrapText="1"/>
    </xf>
    <xf numFmtId="0" fontId="6" fillId="0" borderId="28" xfId="0" applyFont="1" applyBorder="1"/>
    <xf numFmtId="0" fontId="7" fillId="0" borderId="11" xfId="0" applyFont="1" applyBorder="1" applyAlignment="1">
      <alignment horizontal="center" wrapText="1"/>
    </xf>
    <xf numFmtId="0" fontId="7" fillId="0" borderId="9" xfId="0" applyFont="1" applyBorder="1" applyAlignment="1">
      <alignment horizontal="center" wrapText="1"/>
    </xf>
    <xf numFmtId="0" fontId="7" fillId="0" borderId="34" xfId="0" applyFont="1" applyBorder="1" applyAlignment="1">
      <alignment horizontal="center" vertical="center"/>
    </xf>
    <xf numFmtId="0" fontId="7" fillId="10" borderId="36" xfId="0" applyFont="1" applyFill="1" applyBorder="1" applyAlignment="1">
      <alignment horizontal="center" vertical="center" wrapText="1"/>
    </xf>
    <xf numFmtId="0" fontId="7" fillId="10" borderId="47" xfId="0" applyFont="1" applyFill="1" applyBorder="1" applyAlignment="1">
      <alignment horizontal="center" vertical="center" wrapText="1"/>
    </xf>
    <xf numFmtId="0" fontId="7" fillId="0" borderId="51" xfId="0" applyFont="1" applyBorder="1" applyAlignment="1">
      <alignment horizontal="center" vertical="center"/>
    </xf>
    <xf numFmtId="0" fontId="27" fillId="12" borderId="14" xfId="0" applyFont="1" applyFill="1" applyBorder="1" applyAlignment="1">
      <alignment horizontal="center" wrapText="1"/>
    </xf>
    <xf numFmtId="0" fontId="27" fillId="12" borderId="15" xfId="0" applyFont="1" applyFill="1" applyBorder="1" applyAlignment="1">
      <alignment horizontal="center" wrapText="1"/>
    </xf>
    <xf numFmtId="0" fontId="25" fillId="12" borderId="18" xfId="0" applyFont="1" applyFill="1" applyBorder="1" applyAlignment="1">
      <alignment horizontal="left" vertical="center"/>
    </xf>
    <xf numFmtId="0" fontId="17" fillId="13" borderId="4" xfId="0" applyFont="1" applyFill="1" applyBorder="1"/>
    <xf numFmtId="0" fontId="7" fillId="9" borderId="14" xfId="0" applyFont="1" applyFill="1" applyBorder="1" applyAlignment="1">
      <alignment wrapText="1"/>
    </xf>
    <xf numFmtId="0" fontId="7" fillId="9" borderId="15" xfId="0" applyFont="1" applyFill="1" applyBorder="1" applyAlignment="1">
      <alignment wrapText="1"/>
    </xf>
    <xf numFmtId="0" fontId="7" fillId="9" borderId="18" xfId="0" applyFont="1" applyFill="1" applyBorder="1" applyAlignment="1">
      <alignment horizontal="left" vertical="center"/>
    </xf>
    <xf numFmtId="0" fontId="16" fillId="0" borderId="12" xfId="0" applyFont="1" applyBorder="1" applyAlignment="1">
      <alignment horizontal="center" vertical="center"/>
    </xf>
    <xf numFmtId="0" fontId="7" fillId="0" borderId="0" xfId="0" applyFont="1" applyAlignment="1">
      <alignment horizontal="center" wrapText="1"/>
    </xf>
    <xf numFmtId="0" fontId="7" fillId="0" borderId="7" xfId="0" applyFont="1" applyBorder="1" applyAlignment="1">
      <alignment horizontal="center" wrapText="1"/>
    </xf>
    <xf numFmtId="0" fontId="16" fillId="0" borderId="68" xfId="0" applyFont="1" applyBorder="1" applyAlignment="1">
      <alignment horizontal="center" vertical="center"/>
    </xf>
    <xf numFmtId="0" fontId="16" fillId="0" borderId="19" xfId="0" applyFont="1" applyBorder="1" applyAlignment="1">
      <alignment horizontal="center" vertical="center"/>
    </xf>
    <xf numFmtId="3" fontId="16" fillId="0" borderId="12" xfId="0" applyNumberFormat="1" applyFont="1" applyBorder="1" applyAlignment="1">
      <alignment horizontal="center" vertical="center"/>
    </xf>
    <xf numFmtId="3" fontId="16" fillId="0" borderId="64" xfId="0" applyNumberFormat="1" applyFont="1" applyBorder="1" applyAlignment="1">
      <alignment horizontal="center" vertical="center"/>
    </xf>
    <xf numFmtId="3" fontId="16" fillId="0" borderId="63" xfId="0" applyNumberFormat="1" applyFont="1" applyBorder="1" applyAlignment="1">
      <alignment horizontal="center" vertical="center"/>
    </xf>
    <xf numFmtId="0" fontId="16" fillId="0" borderId="57" xfId="0" applyFont="1" applyBorder="1" applyAlignment="1">
      <alignment horizontal="center" vertical="center"/>
    </xf>
    <xf numFmtId="0" fontId="6" fillId="0" borderId="0" xfId="0" applyFont="1" applyAlignment="1">
      <alignment vertical="center"/>
    </xf>
    <xf numFmtId="0" fontId="23" fillId="0" borderId="0" xfId="0" applyFont="1" applyAlignment="1">
      <alignment horizontal="left"/>
    </xf>
    <xf numFmtId="0" fontId="7" fillId="0" borderId="51" xfId="0" applyFont="1" applyBorder="1" applyAlignment="1">
      <alignment horizontal="left" vertical="center"/>
    </xf>
    <xf numFmtId="0" fontId="32" fillId="0" borderId="6" xfId="0" applyFont="1" applyBorder="1" applyAlignment="1">
      <alignment vertical="center" wrapText="1"/>
    </xf>
    <xf numFmtId="0" fontId="7" fillId="15" borderId="58" xfId="0" applyFont="1" applyFill="1" applyBorder="1" applyAlignment="1">
      <alignment horizontal="left" vertical="center"/>
    </xf>
    <xf numFmtId="0" fontId="7" fillId="15" borderId="16" xfId="0" applyFont="1" applyFill="1" applyBorder="1" applyAlignment="1">
      <alignment horizontal="left" vertical="center"/>
    </xf>
    <xf numFmtId="0" fontId="7" fillId="15" borderId="67" xfId="0" applyFont="1" applyFill="1" applyBorder="1" applyAlignment="1">
      <alignment horizontal="left" vertical="center"/>
    </xf>
    <xf numFmtId="0" fontId="7" fillId="15" borderId="18" xfId="0" applyFont="1" applyFill="1" applyBorder="1" applyAlignment="1">
      <alignment horizontal="left" vertical="center"/>
    </xf>
    <xf numFmtId="3" fontId="0" fillId="15" borderId="66" xfId="0" applyNumberFormat="1" applyFill="1" applyBorder="1" applyAlignment="1">
      <alignment horizontal="center" vertical="center"/>
    </xf>
    <xf numFmtId="3" fontId="0" fillId="15" borderId="17" xfId="0" applyNumberFormat="1" applyFill="1" applyBorder="1" applyAlignment="1">
      <alignment horizontal="center" vertical="center"/>
    </xf>
    <xf numFmtId="3" fontId="0" fillId="15" borderId="20" xfId="0" applyNumberFormat="1" applyFill="1" applyBorder="1" applyAlignment="1">
      <alignment horizontal="center" vertical="center"/>
    </xf>
    <xf numFmtId="0" fontId="28" fillId="14" borderId="71" xfId="0" applyFont="1" applyFill="1" applyBorder="1" applyAlignment="1">
      <alignment horizontal="left" vertical="center" wrapText="1"/>
    </xf>
    <xf numFmtId="0" fontId="28" fillId="14" borderId="26" xfId="0" applyFont="1" applyFill="1" applyBorder="1" applyAlignment="1">
      <alignment horizontal="left" vertical="center" wrapText="1"/>
    </xf>
    <xf numFmtId="3" fontId="3" fillId="14" borderId="66" xfId="0" applyNumberFormat="1" applyFont="1" applyFill="1" applyBorder="1" applyAlignment="1">
      <alignment horizontal="center" vertical="center"/>
    </xf>
    <xf numFmtId="3" fontId="3" fillId="14" borderId="17" xfId="0" applyNumberFormat="1" applyFont="1" applyFill="1" applyBorder="1" applyAlignment="1">
      <alignment horizontal="center" vertical="center"/>
    </xf>
    <xf numFmtId="3" fontId="3" fillId="14" borderId="20" xfId="0" applyNumberFormat="1" applyFont="1" applyFill="1" applyBorder="1" applyAlignment="1">
      <alignment horizontal="center" vertical="center"/>
    </xf>
    <xf numFmtId="0" fontId="0" fillId="0" borderId="22" xfId="0" applyBorder="1" applyAlignment="1">
      <alignment vertical="center"/>
    </xf>
    <xf numFmtId="0" fontId="7" fillId="15" borderId="70" xfId="0" applyFont="1" applyFill="1" applyBorder="1" applyAlignment="1">
      <alignment vertical="center" wrapText="1"/>
    </xf>
    <xf numFmtId="0" fontId="7" fillId="15" borderId="69" xfId="0" applyFont="1" applyFill="1" applyBorder="1" applyAlignment="1">
      <alignment vertical="center" wrapText="1"/>
    </xf>
    <xf numFmtId="0" fontId="0" fillId="0" borderId="4" xfId="0" applyBorder="1" applyAlignment="1">
      <alignment vertical="center"/>
    </xf>
    <xf numFmtId="0" fontId="28" fillId="14" borderId="55" xfId="0" applyFont="1" applyFill="1" applyBorder="1" applyAlignment="1">
      <alignment vertical="center" wrapText="1"/>
    </xf>
    <xf numFmtId="0" fontId="28" fillId="14" borderId="24" xfId="0" applyFont="1" applyFill="1" applyBorder="1" applyAlignment="1">
      <alignment vertical="center" wrapText="1"/>
    </xf>
    <xf numFmtId="0" fontId="28" fillId="14" borderId="69" xfId="0" applyFont="1" applyFill="1" applyBorder="1" applyAlignment="1">
      <alignment vertical="center" wrapText="1"/>
    </xf>
    <xf numFmtId="3" fontId="36" fillId="0" borderId="64" xfId="0" applyNumberFormat="1" applyFont="1" applyBorder="1" applyAlignment="1">
      <alignment horizontal="center" vertical="center" wrapText="1"/>
    </xf>
    <xf numFmtId="3" fontId="36" fillId="0" borderId="10" xfId="0" applyNumberFormat="1" applyFont="1" applyBorder="1" applyAlignment="1">
      <alignment horizontal="center" vertical="center" wrapText="1"/>
    </xf>
    <xf numFmtId="3" fontId="36" fillId="0" borderId="10" xfId="0" applyNumberFormat="1" applyFont="1" applyBorder="1" applyAlignment="1">
      <alignment horizontal="center" vertical="center"/>
    </xf>
    <xf numFmtId="0" fontId="36" fillId="0" borderId="10" xfId="0" applyFont="1" applyBorder="1" applyAlignment="1">
      <alignment horizontal="center" vertical="center"/>
    </xf>
    <xf numFmtId="0" fontId="36" fillId="0" borderId="68" xfId="0" applyFont="1" applyBorder="1" applyAlignment="1">
      <alignment horizontal="center" vertical="center" wrapText="1"/>
    </xf>
    <xf numFmtId="0" fontId="36" fillId="0" borderId="19" xfId="0" applyFont="1" applyBorder="1" applyAlignment="1">
      <alignment horizontal="center" vertical="center" wrapText="1"/>
    </xf>
    <xf numFmtId="0" fontId="36" fillId="10" borderId="60" xfId="0" applyFont="1" applyFill="1" applyBorder="1" applyAlignment="1">
      <alignment horizontal="left" vertical="center" wrapText="1"/>
    </xf>
    <xf numFmtId="0" fontId="36" fillId="10" borderId="61" xfId="0" applyFont="1" applyFill="1" applyBorder="1" applyAlignment="1">
      <alignment horizontal="left" vertical="center" wrapText="1"/>
    </xf>
    <xf numFmtId="0" fontId="36" fillId="0" borderId="61" xfId="0" applyFont="1" applyBorder="1" applyAlignment="1">
      <alignment horizontal="left" vertical="center" wrapText="1"/>
    </xf>
    <xf numFmtId="0" fontId="36" fillId="0" borderId="61" xfId="0" applyFont="1" applyBorder="1" applyAlignment="1">
      <alignment horizontal="left" vertical="center"/>
    </xf>
    <xf numFmtId="0" fontId="36" fillId="0" borderId="62" xfId="0" applyFont="1" applyBorder="1" applyAlignment="1">
      <alignment horizontal="left" vertical="center" wrapText="1"/>
    </xf>
    <xf numFmtId="0" fontId="7" fillId="10" borderId="7" xfId="0" applyFont="1" applyFill="1" applyBorder="1" applyAlignment="1">
      <alignment horizontal="center" vertical="center" wrapText="1"/>
    </xf>
    <xf numFmtId="0" fontId="0" fillId="10" borderId="25" xfId="0" applyFill="1" applyBorder="1" applyAlignment="1">
      <alignment horizontal="left" vertical="center" wrapText="1"/>
    </xf>
    <xf numFmtId="0" fontId="7" fillId="0" borderId="7" xfId="0" applyFont="1" applyBorder="1" applyAlignment="1">
      <alignment horizontal="left" vertical="center"/>
    </xf>
    <xf numFmtId="2" fontId="0" fillId="0" borderId="25" xfId="0" applyNumberFormat="1" applyBorder="1" applyAlignment="1">
      <alignment horizontal="center" vertical="center"/>
    </xf>
    <xf numFmtId="0" fontId="6" fillId="0" borderId="7" xfId="0" applyFont="1" applyBorder="1"/>
    <xf numFmtId="0" fontId="6" fillId="0" borderId="25" xfId="0" applyFont="1" applyBorder="1"/>
    <xf numFmtId="0" fontId="23" fillId="0" borderId="7" xfId="0" applyFont="1" applyBorder="1"/>
    <xf numFmtId="0" fontId="21" fillId="0" borderId="25" xfId="0" applyFont="1" applyBorder="1" applyAlignment="1">
      <alignment horizontal="center"/>
    </xf>
    <xf numFmtId="0" fontId="21" fillId="0" borderId="7" xfId="0" applyFont="1" applyBorder="1" applyAlignment="1">
      <alignment horizontal="left" vertical="center"/>
    </xf>
    <xf numFmtId="0" fontId="23" fillId="0" borderId="25" xfId="0" applyFont="1" applyBorder="1" applyAlignment="1">
      <alignment horizontal="center"/>
    </xf>
    <xf numFmtId="0" fontId="7" fillId="8" borderId="22" xfId="0" applyFont="1" applyFill="1" applyBorder="1" applyAlignment="1">
      <alignment horizontal="left" vertical="center"/>
    </xf>
    <xf numFmtId="3" fontId="16" fillId="8" borderId="69" xfId="0" applyNumberFormat="1" applyFont="1" applyFill="1" applyBorder="1" applyAlignment="1">
      <alignment horizontal="center" vertical="center"/>
    </xf>
    <xf numFmtId="0" fontId="7" fillId="8" borderId="26" xfId="0" applyFont="1" applyFill="1" applyBorder="1" applyAlignment="1">
      <alignment horizontal="left" vertical="center" wrapText="1"/>
    </xf>
    <xf numFmtId="0" fontId="7" fillId="0" borderId="7" xfId="0" applyFont="1" applyBorder="1" applyAlignment="1">
      <alignment horizontal="center" vertical="center"/>
    </xf>
    <xf numFmtId="0" fontId="7" fillId="0" borderId="46" xfId="0" applyFont="1" applyBorder="1" applyAlignment="1">
      <alignment horizontal="center" vertical="center"/>
    </xf>
    <xf numFmtId="0" fontId="16" fillId="16" borderId="10" xfId="0" applyFont="1" applyFill="1" applyBorder="1" applyAlignment="1">
      <alignment horizontal="center" vertical="center"/>
    </xf>
    <xf numFmtId="0" fontId="16" fillId="13" borderId="10" xfId="0" applyFont="1" applyFill="1" applyBorder="1" applyAlignment="1">
      <alignment horizontal="center" vertical="center"/>
    </xf>
    <xf numFmtId="0" fontId="16" fillId="9" borderId="10" xfId="0" applyFont="1" applyFill="1" applyBorder="1" applyAlignment="1">
      <alignment horizontal="center" vertical="center"/>
    </xf>
    <xf numFmtId="0" fontId="0" fillId="13" borderId="10" xfId="0" applyFill="1" applyBorder="1" applyAlignment="1">
      <alignment horizontal="center" vertical="center"/>
    </xf>
    <xf numFmtId="0" fontId="0" fillId="9" borderId="10" xfId="0" applyFill="1" applyBorder="1" applyAlignment="1">
      <alignment horizontal="center" vertical="center"/>
    </xf>
    <xf numFmtId="0" fontId="28" fillId="8" borderId="71" xfId="0" applyFont="1" applyFill="1" applyBorder="1" applyAlignment="1">
      <alignment horizontal="left" vertical="center" wrapText="1"/>
    </xf>
    <xf numFmtId="0" fontId="28" fillId="8" borderId="26" xfId="0" applyFont="1" applyFill="1" applyBorder="1" applyAlignment="1">
      <alignment horizontal="left" vertical="center" wrapText="1"/>
    </xf>
    <xf numFmtId="0" fontId="16" fillId="11" borderId="17" xfId="0" applyFont="1" applyFill="1" applyBorder="1" applyAlignment="1">
      <alignment horizontal="center" vertical="center"/>
    </xf>
    <xf numFmtId="0" fontId="0" fillId="11" borderId="17" xfId="0" applyFill="1" applyBorder="1" applyAlignment="1">
      <alignment horizontal="center" vertical="center"/>
    </xf>
    <xf numFmtId="0" fontId="0" fillId="13" borderId="19" xfId="0" applyFill="1" applyBorder="1" applyAlignment="1">
      <alignment horizontal="center" vertical="center"/>
    </xf>
    <xf numFmtId="0" fontId="0" fillId="9" borderId="19" xfId="0" applyFill="1" applyBorder="1" applyAlignment="1">
      <alignment horizontal="center" vertical="center"/>
    </xf>
    <xf numFmtId="0" fontId="0" fillId="11" borderId="20" xfId="0" applyFill="1" applyBorder="1" applyAlignment="1">
      <alignment horizontal="center" vertical="center"/>
    </xf>
    <xf numFmtId="0" fontId="29" fillId="16" borderId="56" xfId="0" applyFont="1" applyFill="1" applyBorder="1" applyAlignment="1">
      <alignment horizontal="center" vertical="center" wrapText="1"/>
    </xf>
    <xf numFmtId="0" fontId="16" fillId="16" borderId="12" xfId="0" applyFont="1" applyFill="1" applyBorder="1" applyAlignment="1">
      <alignment horizontal="center" vertical="center"/>
    </xf>
    <xf numFmtId="0" fontId="0" fillId="16" borderId="12" xfId="0" applyFill="1" applyBorder="1" applyAlignment="1">
      <alignment horizontal="center" vertical="center"/>
    </xf>
    <xf numFmtId="0" fontId="0" fillId="16" borderId="57" xfId="0" applyFill="1" applyBorder="1" applyAlignment="1">
      <alignment horizontal="center" vertical="center"/>
    </xf>
    <xf numFmtId="0" fontId="36" fillId="10" borderId="17" xfId="0" applyFont="1" applyFill="1" applyBorder="1" applyAlignment="1">
      <alignment horizontal="left" vertical="center" wrapText="1"/>
    </xf>
    <xf numFmtId="0" fontId="36" fillId="0" borderId="17" xfId="0" applyFont="1" applyBorder="1" applyAlignment="1">
      <alignment horizontal="left" vertical="center" wrapText="1"/>
    </xf>
    <xf numFmtId="0" fontId="36" fillId="0" borderId="17" xfId="0" applyFont="1" applyBorder="1" applyAlignment="1">
      <alignment horizontal="left" vertical="center"/>
    </xf>
    <xf numFmtId="0" fontId="36" fillId="0" borderId="20" xfId="0" applyFont="1" applyBorder="1" applyAlignment="1">
      <alignment horizontal="left" vertical="center" wrapText="1"/>
    </xf>
    <xf numFmtId="3" fontId="7" fillId="16" borderId="77" xfId="0" applyNumberFormat="1" applyFont="1" applyFill="1" applyBorder="1" applyAlignment="1">
      <alignment horizontal="center" vertical="center"/>
    </xf>
    <xf numFmtId="3" fontId="7" fillId="13" borderId="10" xfId="0" applyNumberFormat="1" applyFont="1" applyFill="1" applyBorder="1" applyAlignment="1">
      <alignment horizontal="center" vertical="center"/>
    </xf>
    <xf numFmtId="3" fontId="7" fillId="9" borderId="10" xfId="0" applyNumberFormat="1" applyFont="1" applyFill="1" applyBorder="1" applyAlignment="1">
      <alignment horizontal="center" vertical="center"/>
    </xf>
    <xf numFmtId="0" fontId="29" fillId="13" borderId="14" xfId="0" applyFont="1" applyFill="1" applyBorder="1" applyAlignment="1">
      <alignment horizontal="center" vertical="center" wrapText="1"/>
    </xf>
    <xf numFmtId="0" fontId="29" fillId="9" borderId="14" xfId="0" applyFont="1" applyFill="1" applyBorder="1" applyAlignment="1">
      <alignment horizontal="center" vertical="center" wrapText="1"/>
    </xf>
    <xf numFmtId="0" fontId="29" fillId="11" borderId="15" xfId="0" applyFont="1" applyFill="1" applyBorder="1" applyAlignment="1">
      <alignment horizontal="center" vertical="center" wrapText="1"/>
    </xf>
    <xf numFmtId="3" fontId="7" fillId="11" borderId="17" xfId="0" applyNumberFormat="1" applyFont="1" applyFill="1" applyBorder="1" applyAlignment="1">
      <alignment horizontal="center" vertical="center"/>
    </xf>
    <xf numFmtId="0" fontId="36" fillId="10" borderId="0" xfId="0" applyFont="1" applyFill="1" applyAlignment="1">
      <alignment horizontal="left" vertical="center" wrapText="1"/>
    </xf>
    <xf numFmtId="0" fontId="0" fillId="10" borderId="0" xfId="0" applyFill="1" applyAlignment="1">
      <alignment horizontal="center" vertical="center"/>
    </xf>
    <xf numFmtId="0" fontId="7" fillId="17" borderId="71" xfId="0" applyFont="1" applyFill="1" applyBorder="1" applyAlignment="1">
      <alignment horizontal="left" vertical="center"/>
    </xf>
    <xf numFmtId="0" fontId="7" fillId="17" borderId="74" xfId="0" applyFont="1" applyFill="1" applyBorder="1" applyAlignment="1">
      <alignment horizontal="left" vertical="center"/>
    </xf>
    <xf numFmtId="0" fontId="7" fillId="17" borderId="76" xfId="0" applyFont="1" applyFill="1" applyBorder="1" applyAlignment="1">
      <alignment horizontal="left" vertical="center"/>
    </xf>
    <xf numFmtId="0" fontId="7" fillId="17" borderId="83" xfId="0" applyFont="1" applyFill="1" applyBorder="1" applyAlignment="1">
      <alignment horizontal="left" vertical="center"/>
    </xf>
    <xf numFmtId="3" fontId="36" fillId="0" borderId="71" xfId="0" applyNumberFormat="1" applyFont="1" applyBorder="1" applyAlignment="1">
      <alignment horizontal="center" vertical="center" wrapText="1"/>
    </xf>
    <xf numFmtId="3" fontId="36" fillId="0" borderId="74" xfId="0" applyNumberFormat="1" applyFont="1" applyBorder="1" applyAlignment="1">
      <alignment horizontal="center" vertical="center" wrapText="1"/>
    </xf>
    <xf numFmtId="3" fontId="36" fillId="0" borderId="74" xfId="0" applyNumberFormat="1" applyFont="1" applyBorder="1" applyAlignment="1">
      <alignment horizontal="center" vertical="center"/>
    </xf>
    <xf numFmtId="0" fontId="36" fillId="0" borderId="74" xfId="0" applyFont="1" applyBorder="1" applyAlignment="1">
      <alignment horizontal="center" vertical="center"/>
    </xf>
    <xf numFmtId="0" fontId="36" fillId="0" borderId="76" xfId="0" applyFont="1" applyBorder="1" applyAlignment="1">
      <alignment horizontal="center" vertical="center" wrapText="1"/>
    </xf>
    <xf numFmtId="0" fontId="36" fillId="0" borderId="83" xfId="0" applyFont="1" applyBorder="1" applyAlignment="1">
      <alignment horizontal="center" vertical="center" wrapText="1"/>
    </xf>
    <xf numFmtId="0" fontId="23" fillId="0" borderId="25" xfId="0" applyFont="1" applyBorder="1" applyAlignment="1">
      <alignment horizontal="left"/>
    </xf>
    <xf numFmtId="0" fontId="7" fillId="18" borderId="14" xfId="0" applyFont="1" applyFill="1" applyBorder="1" applyAlignment="1">
      <alignment wrapText="1"/>
    </xf>
    <xf numFmtId="0" fontId="7" fillId="18" borderId="15" xfId="0" applyFont="1" applyFill="1" applyBorder="1" applyAlignment="1">
      <alignment wrapText="1"/>
    </xf>
    <xf numFmtId="0" fontId="7" fillId="18" borderId="18" xfId="0" applyFont="1" applyFill="1" applyBorder="1" applyAlignment="1">
      <alignment horizontal="left" vertical="center"/>
    </xf>
    <xf numFmtId="0" fontId="28" fillId="10" borderId="7" xfId="0" applyFont="1" applyFill="1" applyBorder="1" applyAlignment="1">
      <alignment horizontal="left" vertical="center" wrapText="1"/>
    </xf>
    <xf numFmtId="0" fontId="0" fillId="10" borderId="25" xfId="0" applyFill="1" applyBorder="1" applyAlignment="1">
      <alignment horizontal="center" vertical="center"/>
    </xf>
    <xf numFmtId="0" fontId="0" fillId="0" borderId="0" xfId="0" applyAlignment="1">
      <alignment wrapText="1"/>
    </xf>
    <xf numFmtId="0" fontId="23" fillId="10" borderId="0" xfId="0" applyFont="1" applyFill="1"/>
    <xf numFmtId="0" fontId="39" fillId="10" borderId="0" xfId="0" applyFont="1" applyFill="1" applyAlignment="1">
      <alignment vertical="center" wrapText="1"/>
    </xf>
    <xf numFmtId="0" fontId="23" fillId="10" borderId="0" xfId="0" applyFont="1" applyFill="1" applyAlignment="1">
      <alignment wrapText="1"/>
    </xf>
    <xf numFmtId="2" fontId="40" fillId="0" borderId="64" xfId="0" applyNumberFormat="1" applyFont="1" applyBorder="1" applyAlignment="1">
      <alignment horizontal="center" vertical="center"/>
    </xf>
    <xf numFmtId="0" fontId="40" fillId="10" borderId="64" xfId="0" applyFont="1" applyFill="1" applyBorder="1" applyAlignment="1">
      <alignment horizontal="left" vertical="center" wrapText="1"/>
    </xf>
    <xf numFmtId="0" fontId="0" fillId="0" borderId="0" xfId="0" applyAlignment="1">
      <alignment horizontal="left" wrapText="1"/>
    </xf>
    <xf numFmtId="0" fontId="6" fillId="0" borderId="0" xfId="0" applyFont="1" applyAlignment="1">
      <alignment horizontal="left"/>
    </xf>
    <xf numFmtId="0" fontId="7" fillId="18" borderId="14" xfId="0" applyFont="1" applyFill="1" applyBorder="1" applyAlignment="1">
      <alignment vertical="center" wrapText="1"/>
    </xf>
    <xf numFmtId="0" fontId="7" fillId="18" borderId="15" xfId="0" applyFont="1" applyFill="1" applyBorder="1" applyAlignment="1">
      <alignment vertical="center" wrapText="1"/>
    </xf>
    <xf numFmtId="0" fontId="27" fillId="19" borderId="14" xfId="0" applyFont="1" applyFill="1" applyBorder="1" applyAlignment="1">
      <alignment horizontal="center" wrapText="1"/>
    </xf>
    <xf numFmtId="0" fontId="27" fillId="19" borderId="15" xfId="0" applyFont="1" applyFill="1" applyBorder="1" applyAlignment="1">
      <alignment horizontal="center" wrapText="1"/>
    </xf>
    <xf numFmtId="0" fontId="25" fillId="19" borderId="18" xfId="0" applyFont="1" applyFill="1" applyBorder="1" applyAlignment="1">
      <alignment horizontal="left" vertical="center"/>
    </xf>
    <xf numFmtId="0" fontId="6" fillId="0" borderId="8" xfId="0" applyFont="1" applyBorder="1" applyAlignment="1">
      <alignment horizontal="center"/>
    </xf>
    <xf numFmtId="0" fontId="7" fillId="0" borderId="7" xfId="0" applyFont="1" applyBorder="1" applyAlignment="1">
      <alignment horizontal="center"/>
    </xf>
    <xf numFmtId="0" fontId="7" fillId="0" borderId="0" xfId="0" applyFont="1" applyAlignment="1">
      <alignment horizontal="center"/>
    </xf>
    <xf numFmtId="0" fontId="6" fillId="0" borderId="0" xfId="0" applyFont="1" applyAlignment="1">
      <alignment horizontal="center"/>
    </xf>
    <xf numFmtId="0" fontId="6" fillId="0" borderId="7" xfId="0" applyFont="1" applyBorder="1" applyAlignment="1">
      <alignment horizontal="center"/>
    </xf>
    <xf numFmtId="0" fontId="23" fillId="0" borderId="10" xfId="0" applyFont="1" applyBorder="1" applyAlignment="1">
      <alignment horizontal="center"/>
    </xf>
    <xf numFmtId="0" fontId="23" fillId="0" borderId="17" xfId="0" applyFont="1" applyBorder="1" applyAlignment="1">
      <alignment horizontal="center"/>
    </xf>
    <xf numFmtId="0" fontId="23" fillId="0" borderId="18" xfId="0" applyFont="1" applyBorder="1" applyAlignment="1">
      <alignment horizontal="center"/>
    </xf>
    <xf numFmtId="0" fontId="23" fillId="0" borderId="19" xfId="0" applyFont="1" applyBorder="1" applyAlignment="1">
      <alignment horizontal="center"/>
    </xf>
    <xf numFmtId="0" fontId="23" fillId="0" borderId="20" xfId="0" applyFont="1" applyBorder="1" applyAlignment="1">
      <alignment horizontal="center"/>
    </xf>
    <xf numFmtId="0" fontId="24" fillId="0" borderId="4" xfId="0" applyFont="1" applyBorder="1" applyAlignment="1">
      <alignment horizontal="left" vertical="center" wrapText="1"/>
    </xf>
    <xf numFmtId="0" fontId="24" fillId="0" borderId="5" xfId="0" applyFont="1" applyBorder="1" applyAlignment="1">
      <alignment horizontal="left" vertical="center" wrapText="1"/>
    </xf>
    <xf numFmtId="0" fontId="24" fillId="0" borderId="6" xfId="0" applyFont="1" applyBorder="1" applyAlignment="1">
      <alignment horizontal="left" vertical="center" wrapText="1"/>
    </xf>
    <xf numFmtId="0" fontId="21" fillId="0" borderId="14" xfId="0" applyFont="1" applyBorder="1" applyAlignment="1">
      <alignment horizontal="center"/>
    </xf>
    <xf numFmtId="0" fontId="21" fillId="0" borderId="15" xfId="0" applyFont="1" applyBorder="1" applyAlignment="1">
      <alignment horizontal="center"/>
    </xf>
    <xf numFmtId="0" fontId="0" fillId="0" borderId="0" xfId="0" applyAlignment="1">
      <alignment horizontal="center" wrapText="1"/>
    </xf>
    <xf numFmtId="0" fontId="7" fillId="0" borderId="4" xfId="0" applyFont="1" applyBorder="1" applyAlignment="1">
      <alignment horizontal="center" wrapText="1"/>
    </xf>
    <xf numFmtId="0" fontId="7" fillId="0" borderId="5" xfId="0" applyFont="1" applyBorder="1" applyAlignment="1">
      <alignment horizontal="center" wrapText="1"/>
    </xf>
    <xf numFmtId="0" fontId="41" fillId="0" borderId="4" xfId="0" applyFont="1" applyBorder="1" applyAlignment="1">
      <alignment horizontal="left" vertical="center" wrapText="1"/>
    </xf>
    <xf numFmtId="0" fontId="41" fillId="0" borderId="5" xfId="0" applyFont="1" applyBorder="1" applyAlignment="1">
      <alignment horizontal="left" vertical="center"/>
    </xf>
    <xf numFmtId="0" fontId="41" fillId="0" borderId="6" xfId="0" applyFont="1" applyBorder="1" applyAlignment="1">
      <alignment horizontal="left" vertical="center"/>
    </xf>
    <xf numFmtId="0" fontId="20" fillId="0" borderId="23" xfId="0" applyFont="1" applyBorder="1" applyAlignment="1">
      <alignment horizontal="center" vertical="center"/>
    </xf>
    <xf numFmtId="0" fontId="20" fillId="0" borderId="5" xfId="0" applyFont="1" applyBorder="1" applyAlignment="1">
      <alignment horizontal="center" vertical="center"/>
    </xf>
    <xf numFmtId="0" fontId="20" fillId="0" borderId="24" xfId="0" applyFont="1" applyBorder="1" applyAlignment="1">
      <alignment horizontal="center" vertical="center"/>
    </xf>
    <xf numFmtId="0" fontId="21" fillId="0" borderId="23" xfId="0" applyFont="1" applyBorder="1" applyAlignment="1">
      <alignment horizontal="center" wrapText="1"/>
    </xf>
    <xf numFmtId="0" fontId="21" fillId="0" borderId="6" xfId="0" applyFont="1" applyBorder="1" applyAlignment="1">
      <alignment horizontal="center" wrapText="1"/>
    </xf>
    <xf numFmtId="0" fontId="7" fillId="8" borderId="4" xfId="0" applyFont="1" applyFill="1" applyBorder="1" applyAlignment="1">
      <alignment horizontal="center" vertical="center" wrapText="1"/>
    </xf>
    <xf numFmtId="0" fontId="7" fillId="8" borderId="5" xfId="0" applyFont="1" applyFill="1" applyBorder="1" applyAlignment="1">
      <alignment horizontal="center" vertical="center" wrapText="1"/>
    </xf>
    <xf numFmtId="0" fontId="7" fillId="8" borderId="6" xfId="0" applyFont="1" applyFill="1" applyBorder="1" applyAlignment="1">
      <alignment horizontal="center" vertical="center" wrapText="1"/>
    </xf>
    <xf numFmtId="2" fontId="24" fillId="13" borderId="5" xfId="0" applyNumberFormat="1" applyFont="1" applyFill="1" applyBorder="1" applyAlignment="1">
      <alignment horizontal="center"/>
    </xf>
    <xf numFmtId="2" fontId="24" fillId="13" borderId="6" xfId="0" applyNumberFormat="1" applyFont="1" applyFill="1" applyBorder="1" applyAlignment="1">
      <alignment horizontal="center"/>
    </xf>
    <xf numFmtId="0" fontId="7" fillId="10" borderId="21" xfId="0" applyFont="1" applyFill="1" applyBorder="1" applyAlignment="1">
      <alignment horizontal="center" vertical="center"/>
    </xf>
    <xf numFmtId="0" fontId="7" fillId="10" borderId="0" xfId="0" applyFont="1" applyFill="1" applyAlignment="1">
      <alignment horizontal="center" vertical="center"/>
    </xf>
    <xf numFmtId="0" fontId="6" fillId="0" borderId="7" xfId="0" applyFont="1" applyBorder="1" applyAlignment="1">
      <alignment horizontal="center"/>
    </xf>
    <xf numFmtId="0" fontId="6" fillId="0" borderId="0" xfId="0" applyFont="1" applyAlignment="1">
      <alignment horizontal="center"/>
    </xf>
    <xf numFmtId="0" fontId="7" fillId="13" borderId="4" xfId="0" applyFont="1" applyFill="1" applyBorder="1" applyAlignment="1">
      <alignment horizontal="center" vertical="center"/>
    </xf>
    <xf numFmtId="0" fontId="7" fillId="13" borderId="5" xfId="0" applyFont="1" applyFill="1" applyBorder="1" applyAlignment="1">
      <alignment horizontal="center" vertical="center"/>
    </xf>
    <xf numFmtId="0" fontId="7" fillId="13" borderId="6" xfId="0" applyFont="1" applyFill="1" applyBorder="1" applyAlignment="1">
      <alignment horizontal="center" vertical="center"/>
    </xf>
    <xf numFmtId="0" fontId="10" fillId="0" borderId="0" xfId="0" applyFont="1" applyAlignment="1">
      <alignment horizontal="left" wrapText="1"/>
    </xf>
    <xf numFmtId="0" fontId="0" fillId="0" borderId="0" xfId="0" applyAlignment="1">
      <alignment horizontal="left"/>
    </xf>
    <xf numFmtId="0" fontId="7" fillId="13" borderId="4" xfId="0" applyFont="1" applyFill="1" applyBorder="1" applyAlignment="1">
      <alignment horizontal="center" wrapText="1"/>
    </xf>
    <xf numFmtId="0" fontId="7" fillId="13" borderId="5" xfId="0" applyFont="1" applyFill="1" applyBorder="1" applyAlignment="1">
      <alignment horizontal="center" wrapText="1"/>
    </xf>
    <xf numFmtId="0" fontId="7" fillId="13" borderId="6" xfId="0" applyFont="1" applyFill="1" applyBorder="1" applyAlignment="1">
      <alignment horizontal="center" wrapText="1"/>
    </xf>
    <xf numFmtId="0" fontId="6" fillId="0" borderId="11" xfId="0" applyFont="1" applyBorder="1" applyAlignment="1">
      <alignment horizontal="center"/>
    </xf>
    <xf numFmtId="0" fontId="6" fillId="0" borderId="9" xfId="0" applyFont="1" applyBorder="1" applyAlignment="1">
      <alignment horizontal="center"/>
    </xf>
    <xf numFmtId="0" fontId="8" fillId="0" borderId="0" xfId="0" applyFont="1" applyAlignment="1">
      <alignment horizontal="left" vertical="center" wrapText="1"/>
    </xf>
    <xf numFmtId="0" fontId="0" fillId="0" borderId="72" xfId="0" applyBorder="1" applyAlignment="1">
      <alignment horizontal="left" vertical="center" wrapText="1"/>
    </xf>
    <xf numFmtId="0" fontId="0" fillId="0" borderId="73" xfId="0" applyBorder="1" applyAlignment="1">
      <alignment horizontal="left" vertical="center"/>
    </xf>
    <xf numFmtId="0" fontId="0" fillId="0" borderId="12" xfId="0" applyBorder="1" applyAlignment="1">
      <alignment horizontal="left" vertical="center"/>
    </xf>
    <xf numFmtId="0" fontId="0" fillId="10" borderId="21" xfId="0" applyFill="1" applyBorder="1" applyAlignment="1">
      <alignment horizontal="left" vertical="center" wrapText="1"/>
    </xf>
    <xf numFmtId="0" fontId="0" fillId="10" borderId="0" xfId="0" applyFill="1" applyAlignment="1">
      <alignment horizontal="left" vertical="center" wrapText="1"/>
    </xf>
    <xf numFmtId="0" fontId="6" fillId="0" borderId="21" xfId="0" applyFont="1" applyBorder="1" applyAlignment="1">
      <alignment horizontal="center"/>
    </xf>
    <xf numFmtId="0" fontId="23" fillId="0" borderId="0" xfId="0" applyFont="1" applyAlignment="1">
      <alignment horizontal="left"/>
    </xf>
    <xf numFmtId="0" fontId="23" fillId="0" borderId="18" xfId="0" applyFont="1" applyBorder="1" applyAlignment="1">
      <alignment horizontal="left"/>
    </xf>
    <xf numFmtId="0" fontId="23" fillId="0" borderId="19" xfId="0" applyFont="1" applyBorder="1" applyAlignment="1">
      <alignment horizontal="left"/>
    </xf>
    <xf numFmtId="0" fontId="23" fillId="0" borderId="20" xfId="0" applyFont="1" applyBorder="1" applyAlignment="1">
      <alignment horizontal="left"/>
    </xf>
    <xf numFmtId="0" fontId="7" fillId="9" borderId="4" xfId="0" applyFont="1" applyFill="1" applyBorder="1" applyAlignment="1">
      <alignment horizontal="center" vertical="center" wrapText="1"/>
    </xf>
    <xf numFmtId="0" fontId="7" fillId="9" borderId="5" xfId="0" applyFont="1" applyFill="1" applyBorder="1" applyAlignment="1">
      <alignment horizontal="center" vertical="center" wrapText="1"/>
    </xf>
    <xf numFmtId="0" fontId="7" fillId="9" borderId="6" xfId="0" applyFont="1" applyFill="1" applyBorder="1" applyAlignment="1">
      <alignment horizontal="center" vertical="center" wrapText="1"/>
    </xf>
    <xf numFmtId="0" fontId="7" fillId="0" borderId="32" xfId="0" applyFont="1" applyBorder="1" applyAlignment="1">
      <alignment horizontal="left"/>
    </xf>
    <xf numFmtId="0" fontId="7" fillId="0" borderId="0" xfId="0" applyFont="1" applyAlignment="1">
      <alignment horizontal="left"/>
    </xf>
    <xf numFmtId="0" fontId="7" fillId="0" borderId="33" xfId="0" applyFont="1" applyBorder="1" applyAlignment="1">
      <alignment horizontal="left"/>
    </xf>
    <xf numFmtId="0" fontId="0" fillId="0" borderId="30" xfId="0" applyBorder="1" applyAlignment="1">
      <alignment horizontal="left" wrapText="1"/>
    </xf>
    <xf numFmtId="0" fontId="0" fillId="0" borderId="31" xfId="0" applyBorder="1" applyAlignment="1">
      <alignment horizontal="left" wrapText="1"/>
    </xf>
    <xf numFmtId="0" fontId="0" fillId="0" borderId="35" xfId="0" applyBorder="1" applyAlignment="1">
      <alignment horizontal="left" wrapText="1"/>
    </xf>
    <xf numFmtId="0" fontId="0" fillId="10" borderId="37" xfId="0" applyFill="1" applyBorder="1" applyAlignment="1">
      <alignment horizontal="left" vertical="center" wrapText="1"/>
    </xf>
    <xf numFmtId="0" fontId="0" fillId="10" borderId="38" xfId="0" applyFill="1" applyBorder="1" applyAlignment="1">
      <alignment horizontal="left" vertical="center" wrapText="1"/>
    </xf>
    <xf numFmtId="0" fontId="0" fillId="10" borderId="39" xfId="0" applyFill="1" applyBorder="1" applyAlignment="1">
      <alignment horizontal="left" vertical="center" wrapText="1"/>
    </xf>
    <xf numFmtId="0" fontId="0" fillId="10" borderId="10" xfId="0" applyFill="1" applyBorder="1" applyAlignment="1">
      <alignment horizontal="left" vertical="center" wrapText="1"/>
    </xf>
    <xf numFmtId="0" fontId="7" fillId="10" borderId="10" xfId="0" applyFont="1" applyFill="1" applyBorder="1" applyAlignment="1">
      <alignment horizontal="left" vertical="center" wrapText="1"/>
    </xf>
    <xf numFmtId="0" fontId="7" fillId="0" borderId="8" xfId="0" applyFont="1" applyBorder="1" applyAlignment="1">
      <alignment horizontal="center" vertical="center"/>
    </xf>
    <xf numFmtId="0" fontId="0" fillId="0" borderId="4" xfId="0" applyBorder="1" applyAlignment="1">
      <alignment horizontal="left" wrapText="1"/>
    </xf>
    <xf numFmtId="0" fontId="7" fillId="0" borderId="5" xfId="0" applyFont="1" applyBorder="1" applyAlignment="1">
      <alignment horizontal="left" wrapText="1"/>
    </xf>
    <xf numFmtId="0" fontId="7" fillId="18" borderId="4" xfId="0" applyFont="1" applyFill="1" applyBorder="1" applyAlignment="1">
      <alignment horizontal="center" vertical="center" wrapText="1"/>
    </xf>
    <xf numFmtId="0" fontId="7" fillId="18" borderId="5" xfId="0" applyFont="1" applyFill="1" applyBorder="1" applyAlignment="1">
      <alignment horizontal="center" vertical="center" wrapText="1"/>
    </xf>
    <xf numFmtId="0" fontId="7" fillId="18" borderId="6" xfId="0" applyFont="1" applyFill="1" applyBorder="1" applyAlignment="1">
      <alignment horizontal="center" vertical="center" wrapText="1"/>
    </xf>
    <xf numFmtId="0" fontId="7" fillId="0" borderId="7" xfId="0" applyFont="1" applyBorder="1" applyAlignment="1">
      <alignment horizontal="left"/>
    </xf>
    <xf numFmtId="0" fontId="7" fillId="0" borderId="25" xfId="0" applyFont="1" applyBorder="1" applyAlignment="1">
      <alignment horizontal="left"/>
    </xf>
    <xf numFmtId="0" fontId="0" fillId="0" borderId="52" xfId="0" applyBorder="1" applyAlignment="1">
      <alignment horizontal="left" wrapText="1"/>
    </xf>
    <xf numFmtId="0" fontId="0" fillId="10" borderId="29" xfId="0" applyFill="1" applyBorder="1" applyAlignment="1">
      <alignment horizontal="left" vertical="center" wrapText="1"/>
    </xf>
    <xf numFmtId="0" fontId="0" fillId="10" borderId="8" xfId="0" applyFill="1" applyBorder="1" applyAlignment="1">
      <alignment horizontal="left" vertical="center" wrapText="1"/>
    </xf>
    <xf numFmtId="0" fontId="0" fillId="10" borderId="27" xfId="0" applyFill="1" applyBorder="1" applyAlignment="1">
      <alignment horizontal="left" vertical="center" wrapText="1"/>
    </xf>
    <xf numFmtId="0" fontId="0" fillId="0" borderId="30" xfId="0" applyBorder="1" applyAlignment="1">
      <alignment horizontal="left" vertical="center" wrapText="1"/>
    </xf>
    <xf numFmtId="0" fontId="0" fillId="0" borderId="31" xfId="0" applyBorder="1" applyAlignment="1">
      <alignment horizontal="left" vertical="center" wrapText="1"/>
    </xf>
    <xf numFmtId="0" fontId="0" fillId="0" borderId="52" xfId="0" applyBorder="1" applyAlignment="1">
      <alignment horizontal="left" vertical="center" wrapText="1"/>
    </xf>
    <xf numFmtId="0" fontId="25" fillId="19" borderId="4" xfId="0" applyFont="1" applyFill="1" applyBorder="1" applyAlignment="1">
      <alignment horizontal="center" vertical="center" wrapText="1"/>
    </xf>
    <xf numFmtId="0" fontId="25" fillId="19" borderId="5" xfId="0" applyFont="1" applyFill="1" applyBorder="1" applyAlignment="1">
      <alignment horizontal="center" vertical="center" wrapText="1"/>
    </xf>
    <xf numFmtId="0" fontId="25" fillId="19" borderId="6" xfId="0" applyFont="1" applyFill="1" applyBorder="1" applyAlignment="1">
      <alignment horizontal="center" vertical="center" wrapText="1"/>
    </xf>
    <xf numFmtId="0" fontId="7" fillId="0" borderId="11" xfId="0" applyFont="1" applyBorder="1" applyAlignment="1">
      <alignment horizontal="center" wrapText="1"/>
    </xf>
    <xf numFmtId="0" fontId="7" fillId="0" borderId="9" xfId="0" applyFont="1" applyBorder="1" applyAlignment="1">
      <alignment horizontal="center" wrapText="1"/>
    </xf>
    <xf numFmtId="0" fontId="7" fillId="0" borderId="73" xfId="0" applyFont="1" applyBorder="1" applyAlignment="1">
      <alignment horizontal="left" vertical="center" wrapText="1"/>
    </xf>
    <xf numFmtId="0" fontId="7" fillId="0" borderId="12" xfId="0" applyFont="1" applyBorder="1" applyAlignment="1">
      <alignment horizontal="left" vertical="center" wrapText="1"/>
    </xf>
    <xf numFmtId="0" fontId="7" fillId="0" borderId="40" xfId="0" applyFont="1" applyBorder="1" applyAlignment="1">
      <alignment horizontal="left"/>
    </xf>
    <xf numFmtId="0" fontId="7" fillId="0" borderId="41" xfId="0" applyFont="1" applyBorder="1" applyAlignment="1">
      <alignment horizontal="left"/>
    </xf>
    <xf numFmtId="0" fontId="7" fillId="0" borderId="42" xfId="0" applyFont="1" applyBorder="1" applyAlignment="1">
      <alignment horizontal="left"/>
    </xf>
    <xf numFmtId="0" fontId="0" fillId="0" borderId="43" xfId="0" applyBorder="1" applyAlignment="1">
      <alignment horizontal="left" vertical="center"/>
    </xf>
    <xf numFmtId="0" fontId="6" fillId="0" borderId="44" xfId="0" applyFont="1" applyBorder="1" applyAlignment="1">
      <alignment horizontal="left" vertical="center"/>
    </xf>
    <xf numFmtId="0" fontId="6" fillId="0" borderId="45" xfId="0" applyFont="1" applyBorder="1" applyAlignment="1">
      <alignment horizontal="left" vertical="center"/>
    </xf>
    <xf numFmtId="0" fontId="0" fillId="0" borderId="43" xfId="0" applyBorder="1" applyAlignment="1">
      <alignment horizontal="left" vertical="center" wrapText="1"/>
    </xf>
    <xf numFmtId="0" fontId="0" fillId="10" borderId="48" xfId="0" applyFill="1" applyBorder="1" applyAlignment="1">
      <alignment horizontal="left" vertical="center" wrapText="1"/>
    </xf>
    <xf numFmtId="0" fontId="0" fillId="10" borderId="49" xfId="0" applyFill="1" applyBorder="1" applyAlignment="1">
      <alignment horizontal="left" vertical="center" wrapText="1"/>
    </xf>
    <xf numFmtId="0" fontId="0" fillId="10" borderId="50" xfId="0" applyFill="1" applyBorder="1" applyAlignment="1">
      <alignment horizontal="left" vertical="center" wrapText="1"/>
    </xf>
    <xf numFmtId="0" fontId="25" fillId="12" borderId="4" xfId="0" applyFont="1" applyFill="1" applyBorder="1" applyAlignment="1">
      <alignment horizontal="center" vertical="center" wrapText="1"/>
    </xf>
    <xf numFmtId="0" fontId="25" fillId="12" borderId="5" xfId="0" applyFont="1" applyFill="1" applyBorder="1" applyAlignment="1">
      <alignment horizontal="center" vertical="center" wrapText="1"/>
    </xf>
    <xf numFmtId="0" fontId="25" fillId="12" borderId="6" xfId="0" applyFont="1" applyFill="1" applyBorder="1" applyAlignment="1">
      <alignment horizontal="center" vertical="center" wrapText="1"/>
    </xf>
    <xf numFmtId="0" fontId="0" fillId="0" borderId="53" xfId="0" applyBorder="1" applyAlignment="1">
      <alignment horizontal="left" vertical="center" wrapText="1"/>
    </xf>
    <xf numFmtId="0" fontId="0" fillId="0" borderId="54" xfId="0" applyBorder="1" applyAlignment="1">
      <alignment horizontal="left" vertical="center" wrapText="1"/>
    </xf>
    <xf numFmtId="0" fontId="6" fillId="0" borderId="25" xfId="0" applyFont="1" applyBorder="1" applyAlignment="1">
      <alignment horizontal="center"/>
    </xf>
    <xf numFmtId="0" fontId="23" fillId="0" borderId="7" xfId="0" applyFont="1" applyBorder="1" applyAlignment="1">
      <alignment horizontal="left"/>
    </xf>
    <xf numFmtId="0" fontId="23" fillId="0" borderId="25" xfId="0" applyFont="1" applyBorder="1" applyAlignment="1">
      <alignment horizontal="left"/>
    </xf>
    <xf numFmtId="0" fontId="7" fillId="0" borderId="6" xfId="0" applyFont="1" applyBorder="1" applyAlignment="1">
      <alignment horizontal="center" wrapText="1"/>
    </xf>
    <xf numFmtId="0" fontId="28" fillId="14" borderId="4" xfId="0" applyFont="1" applyFill="1" applyBorder="1" applyAlignment="1">
      <alignment horizontal="center" vertical="center" wrapText="1"/>
    </xf>
    <xf numFmtId="0" fontId="28" fillId="14" borderId="5" xfId="0" applyFont="1" applyFill="1" applyBorder="1" applyAlignment="1">
      <alignment horizontal="center" vertical="center" wrapText="1"/>
    </xf>
    <xf numFmtId="0" fontId="28" fillId="14" borderId="6" xfId="0" applyFont="1" applyFill="1" applyBorder="1" applyAlignment="1">
      <alignment horizontal="center" vertical="center" wrapText="1"/>
    </xf>
    <xf numFmtId="0" fontId="0" fillId="8" borderId="29" xfId="0" applyFill="1" applyBorder="1" applyAlignment="1">
      <alignment horizontal="left" vertical="center" wrapText="1"/>
    </xf>
    <xf numFmtId="0" fontId="0" fillId="8" borderId="8" xfId="0" applyFill="1" applyBorder="1" applyAlignment="1">
      <alignment horizontal="left" vertical="center" wrapText="1"/>
    </xf>
    <xf numFmtId="0" fontId="0" fillId="8" borderId="27" xfId="0" applyFill="1" applyBorder="1" applyAlignment="1">
      <alignment horizontal="left" vertical="center" wrapText="1"/>
    </xf>
    <xf numFmtId="0" fontId="36" fillId="10" borderId="16" xfId="0" applyFont="1" applyFill="1" applyBorder="1" applyAlignment="1">
      <alignment horizontal="left" vertical="center" wrapText="1"/>
    </xf>
    <xf numFmtId="0" fontId="7" fillId="10" borderId="17" xfId="0" applyFont="1" applyFill="1" applyBorder="1" applyAlignment="1">
      <alignment horizontal="left" vertical="center" wrapText="1"/>
    </xf>
    <xf numFmtId="0" fontId="7" fillId="15" borderId="4" xfId="0" applyFont="1" applyFill="1" applyBorder="1" applyAlignment="1">
      <alignment horizontal="center" vertical="center" wrapText="1"/>
    </xf>
    <xf numFmtId="0" fontId="7" fillId="15" borderId="5" xfId="0" applyFont="1" applyFill="1" applyBorder="1" applyAlignment="1">
      <alignment horizontal="center" vertical="center" wrapText="1"/>
    </xf>
    <xf numFmtId="0" fontId="7" fillId="15" borderId="6" xfId="0" applyFont="1" applyFill="1" applyBorder="1" applyAlignment="1">
      <alignment horizontal="center" vertical="center" wrapText="1"/>
    </xf>
    <xf numFmtId="0" fontId="34" fillId="10" borderId="10" xfId="0" applyFont="1" applyFill="1" applyBorder="1" applyAlignment="1">
      <alignment horizontal="left" vertical="center" wrapText="1"/>
    </xf>
    <xf numFmtId="0" fontId="34" fillId="10" borderId="17" xfId="0" applyFont="1" applyFill="1" applyBorder="1" applyAlignment="1">
      <alignment horizontal="left" vertical="center" wrapText="1"/>
    </xf>
    <xf numFmtId="0" fontId="7" fillId="0" borderId="26" xfId="0" applyFont="1" applyBorder="1" applyAlignment="1">
      <alignment horizontal="center" vertical="center"/>
    </xf>
    <xf numFmtId="0" fontId="7" fillId="0" borderId="27" xfId="0" applyFont="1" applyBorder="1" applyAlignment="1">
      <alignment horizontal="center" vertical="center"/>
    </xf>
    <xf numFmtId="0" fontId="0" fillId="0" borderId="5" xfId="0" applyBorder="1" applyAlignment="1">
      <alignment horizontal="left" wrapText="1"/>
    </xf>
    <xf numFmtId="0" fontId="0" fillId="0" borderId="6" xfId="0" applyBorder="1" applyAlignment="1">
      <alignment horizontal="left" wrapText="1"/>
    </xf>
    <xf numFmtId="0" fontId="7" fillId="0" borderId="6" xfId="0" applyFont="1" applyBorder="1" applyAlignment="1">
      <alignment horizontal="left" wrapText="1"/>
    </xf>
    <xf numFmtId="0" fontId="6" fillId="0" borderId="81" xfId="0" applyFont="1" applyBorder="1" applyAlignment="1">
      <alignment horizontal="center"/>
    </xf>
    <xf numFmtId="0" fontId="6" fillId="0" borderId="82" xfId="0" applyFont="1" applyBorder="1" applyAlignment="1">
      <alignment horizontal="center"/>
    </xf>
    <xf numFmtId="0" fontId="20" fillId="0" borderId="4" xfId="0" applyFont="1" applyBorder="1" applyAlignment="1">
      <alignment horizontal="center" vertical="center"/>
    </xf>
    <xf numFmtId="0" fontId="7" fillId="0" borderId="0" xfId="0" applyFont="1" applyAlignment="1">
      <alignment horizontal="center" vertical="center"/>
    </xf>
    <xf numFmtId="0" fontId="28" fillId="10" borderId="22" xfId="0" applyFont="1" applyFill="1" applyBorder="1" applyAlignment="1">
      <alignment horizontal="left" vertical="center" wrapText="1"/>
    </xf>
    <xf numFmtId="0" fontId="28" fillId="10" borderId="70" xfId="0" applyFont="1" applyFill="1" applyBorder="1" applyAlignment="1">
      <alignment horizontal="left" vertical="center" wrapText="1"/>
    </xf>
    <xf numFmtId="0" fontId="28" fillId="10" borderId="69" xfId="0" applyFont="1" applyFill="1" applyBorder="1" applyAlignment="1">
      <alignment horizontal="left" vertical="center" wrapText="1"/>
    </xf>
    <xf numFmtId="0" fontId="6" fillId="0" borderId="26" xfId="0" applyFont="1" applyBorder="1" applyAlignment="1">
      <alignment horizontal="center"/>
    </xf>
    <xf numFmtId="0" fontId="38" fillId="17" borderId="59" xfId="0" applyFont="1" applyFill="1" applyBorder="1" applyAlignment="1">
      <alignment horizontal="center" vertical="center" wrapText="1"/>
    </xf>
    <xf numFmtId="0" fontId="28" fillId="17" borderId="60" xfId="0" applyFont="1" applyFill="1" applyBorder="1" applyAlignment="1">
      <alignment horizontal="center" vertical="center" wrapText="1"/>
    </xf>
    <xf numFmtId="0" fontId="6" fillId="0" borderId="59" xfId="0" applyFont="1" applyBorder="1" applyAlignment="1">
      <alignment horizontal="center"/>
    </xf>
    <xf numFmtId="0" fontId="6" fillId="0" borderId="65" xfId="0" applyFont="1" applyBorder="1" applyAlignment="1">
      <alignment horizontal="center"/>
    </xf>
    <xf numFmtId="0" fontId="38" fillId="8" borderId="59" xfId="0" applyFont="1" applyFill="1" applyBorder="1" applyAlignment="1">
      <alignment horizontal="center" vertical="center" wrapText="1"/>
    </xf>
    <xf numFmtId="0" fontId="28" fillId="8" borderId="80" xfId="0" applyFont="1" applyFill="1" applyBorder="1" applyAlignment="1">
      <alignment horizontal="center" vertical="center" wrapText="1"/>
    </xf>
    <xf numFmtId="0" fontId="7" fillId="0" borderId="25" xfId="0" applyFont="1" applyBorder="1" applyAlignment="1">
      <alignment horizontal="center" vertical="center"/>
    </xf>
    <xf numFmtId="0" fontId="7" fillId="0" borderId="74" xfId="0" applyFont="1" applyBorder="1" applyAlignment="1">
      <alignment horizontal="center" wrapText="1"/>
    </xf>
    <xf numFmtId="0" fontId="7" fillId="0" borderId="73" xfId="0" applyFont="1" applyBorder="1" applyAlignment="1">
      <alignment horizontal="center" wrapText="1"/>
    </xf>
    <xf numFmtId="0" fontId="0" fillId="10" borderId="72" xfId="0" applyFill="1" applyBorder="1" applyAlignment="1">
      <alignment horizontal="left" vertical="center" wrapText="1"/>
    </xf>
    <xf numFmtId="0" fontId="0" fillId="10" borderId="73" xfId="0" applyFill="1" applyBorder="1" applyAlignment="1">
      <alignment horizontal="left" vertical="center" wrapText="1"/>
    </xf>
    <xf numFmtId="0" fontId="0" fillId="10" borderId="12" xfId="0" applyFill="1" applyBorder="1" applyAlignment="1">
      <alignment horizontal="left" vertical="center" wrapText="1"/>
    </xf>
    <xf numFmtId="0" fontId="6" fillId="0" borderId="79" xfId="0" applyFont="1" applyBorder="1" applyAlignment="1">
      <alignment horizontal="center"/>
    </xf>
    <xf numFmtId="0" fontId="6" fillId="0" borderId="77" xfId="0" applyFont="1" applyBorder="1" applyAlignment="1">
      <alignment horizontal="center"/>
    </xf>
    <xf numFmtId="0" fontId="7" fillId="9" borderId="4" xfId="0" applyFont="1" applyFill="1" applyBorder="1" applyAlignment="1">
      <alignment horizontal="left" wrapText="1"/>
    </xf>
    <xf numFmtId="0" fontId="7" fillId="9" borderId="5" xfId="0" applyFont="1" applyFill="1" applyBorder="1" applyAlignment="1">
      <alignment horizontal="left" wrapText="1"/>
    </xf>
    <xf numFmtId="0" fontId="7" fillId="9" borderId="6" xfId="0" applyFont="1" applyFill="1" applyBorder="1" applyAlignment="1">
      <alignment horizontal="left" wrapText="1"/>
    </xf>
    <xf numFmtId="0" fontId="7" fillId="0" borderId="72" xfId="0" applyFont="1" applyBorder="1" applyAlignment="1">
      <alignment horizontal="left" vertical="center" wrapText="1"/>
    </xf>
    <xf numFmtId="0" fontId="7" fillId="0" borderId="73" xfId="0" applyFont="1" applyBorder="1" applyAlignment="1">
      <alignment horizontal="left" vertical="center"/>
    </xf>
    <xf numFmtId="0" fontId="7" fillId="0" borderId="12" xfId="0" applyFont="1" applyBorder="1" applyAlignment="1">
      <alignment horizontal="left" vertical="center"/>
    </xf>
    <xf numFmtId="0" fontId="28" fillId="9" borderId="4" xfId="0" applyFont="1" applyFill="1" applyBorder="1" applyAlignment="1">
      <alignment horizontal="center" vertical="center" wrapText="1"/>
    </xf>
    <xf numFmtId="0" fontId="28" fillId="9" borderId="5" xfId="0" applyFont="1" applyFill="1" applyBorder="1" applyAlignment="1">
      <alignment horizontal="center" vertical="center" wrapText="1"/>
    </xf>
    <xf numFmtId="0" fontId="28" fillId="9" borderId="6" xfId="0" applyFont="1" applyFill="1" applyBorder="1" applyAlignment="1">
      <alignment horizontal="center" vertical="center" wrapText="1"/>
    </xf>
    <xf numFmtId="0" fontId="7" fillId="0" borderId="76" xfId="0" applyFont="1" applyBorder="1" applyAlignment="1">
      <alignment horizontal="center" wrapText="1"/>
    </xf>
    <xf numFmtId="0" fontId="7" fillId="0" borderId="77" xfId="0" applyFont="1" applyBorder="1" applyAlignment="1">
      <alignment horizontal="center" wrapText="1"/>
    </xf>
    <xf numFmtId="0" fontId="0" fillId="0" borderId="71" xfId="0" applyBorder="1" applyAlignment="1">
      <alignment horizontal="left" wrapText="1"/>
    </xf>
    <xf numFmtId="0" fontId="7" fillId="0" borderId="75" xfId="0" applyFont="1" applyBorder="1" applyAlignment="1">
      <alignment horizontal="left" wrapText="1"/>
    </xf>
    <xf numFmtId="0" fontId="7" fillId="10" borderId="72" xfId="0" applyFont="1" applyFill="1" applyBorder="1" applyAlignment="1">
      <alignment horizontal="left" wrapText="1"/>
    </xf>
    <xf numFmtId="0" fontId="7" fillId="10" borderId="73" xfId="0" applyFont="1" applyFill="1" applyBorder="1" applyAlignment="1">
      <alignment horizontal="left" wrapText="1"/>
    </xf>
    <xf numFmtId="0" fontId="7" fillId="10" borderId="12" xfId="0" applyFont="1" applyFill="1" applyBorder="1" applyAlignment="1">
      <alignment horizontal="left" wrapText="1"/>
    </xf>
    <xf numFmtId="0" fontId="0" fillId="8" borderId="72" xfId="0" applyFill="1" applyBorder="1" applyAlignment="1">
      <alignment horizontal="left" vertical="center" wrapText="1"/>
    </xf>
    <xf numFmtId="0" fontId="0" fillId="8" borderId="73" xfId="0" applyFill="1" applyBorder="1" applyAlignment="1">
      <alignment horizontal="left" vertical="center"/>
    </xf>
    <xf numFmtId="0" fontId="0" fillId="8" borderId="12" xfId="0" applyFill="1" applyBorder="1" applyAlignment="1">
      <alignment horizontal="left" vertical="center"/>
    </xf>
    <xf numFmtId="0" fontId="7" fillId="0" borderId="78" xfId="0" applyFont="1" applyBorder="1" applyAlignment="1">
      <alignment horizontal="center" vertical="center"/>
    </xf>
  </cellXfs>
  <cellStyles count="8">
    <cellStyle name="Berechnung" xfId="5" builtinId="22" customBuiltin="1"/>
    <cellStyle name="Eingabe" xfId="4" builtinId="20" customBuiltin="1"/>
    <cellStyle name="Gut" xfId="1" builtinId="26" customBuiltin="1"/>
    <cellStyle name="Neutral" xfId="3" builtinId="28" customBuiltin="1"/>
    <cellStyle name="Notiz" xfId="7" builtinId="10" customBuiltin="1"/>
    <cellStyle name="Schlecht" xfId="2" builtinId="27" customBuiltin="1"/>
    <cellStyle name="Standard" xfId="0" builtinId="0"/>
    <cellStyle name="Verknüpfte Zelle" xfId="6" builtinId="24" customBuiltin="1"/>
  </cellStyles>
  <dxfs count="0"/>
  <tableStyles count="0" defaultTableStyle="TableStyleMedium2" defaultPivotStyle="PivotStyleLight16"/>
  <colors>
    <mruColors>
      <color rgb="FFCCECFF"/>
      <color rgb="FFFFFFCC"/>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050"/>
              <a:t>Entwicklung der UH-Zahlen des</a:t>
            </a:r>
            <a:r>
              <a:rPr lang="de-DE" sz="1050" baseline="0"/>
              <a:t> Unternehmens im Vergleich zur  BG BAU</a:t>
            </a:r>
            <a:r>
              <a:rPr lang="de-DE" sz="1050"/>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1"/>
          <c:order val="0"/>
          <c:tx>
            <c:strRef>
              <c:f>'UH-Zahl AMS BAU'!$A$24</c:f>
              <c:strCache>
                <c:ptCount val="1"/>
                <c:pt idx="0">
                  <c:v>UH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0"/>
              <c:layout>
                <c:manualLayout>
                  <c:x val="-4.9136862184072483E-2"/>
                  <c:y val="5.55555555555555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D3-4EDB-A652-01A71768A350}"/>
                </c:ext>
              </c:extLst>
            </c:dLbl>
            <c:dLbl>
              <c:idx val="1"/>
              <c:layout>
                <c:manualLayout>
                  <c:x val="-4.9136862184072483E-2"/>
                  <c:y val="5.55555555555555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D3-4EDB-A652-01A71768A350}"/>
                </c:ext>
              </c:extLst>
            </c:dLbl>
            <c:dLbl>
              <c:idx val="2"/>
              <c:layout>
                <c:manualLayout>
                  <c:x val="-5.2951835956127805E-2"/>
                  <c:y val="6.01851851851851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D3-4EDB-A652-01A71768A35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'UH-Zahl AMS BAU'!$B$21:$D$21</c:f>
              <c:strCache>
                <c:ptCount val="3"/>
                <c:pt idx="0">
                  <c:v>Kalenderjahr 1
(z.B. 2020)</c:v>
                </c:pt>
                <c:pt idx="1">
                  <c:v>Kalenderjahr 2
(z.B. 2021)</c:v>
                </c:pt>
                <c:pt idx="2">
                  <c:v>Kalenderjahr 3
(z.B. 2022)</c:v>
                </c:pt>
              </c:strCache>
            </c:strRef>
          </c:cat>
          <c:val>
            <c:numRef>
              <c:f>'UH-Zahl AMS BAU'!$B$24:$D$24</c:f>
              <c:numCache>
                <c:formatCode>0.00</c:formatCode>
                <c:ptCount val="3"/>
                <c:pt idx="0">
                  <c:v>29.411764705882351</c:v>
                </c:pt>
                <c:pt idx="1">
                  <c:v>22.222222222222221</c:v>
                </c:pt>
                <c:pt idx="2">
                  <c:v>15.789473684210526</c:v>
                </c:pt>
              </c:numCache>
            </c:numRef>
          </c:val>
          <c:smooth val="0"/>
          <c:extLst>
            <c:ext xmlns:c16="http://schemas.microsoft.com/office/drawing/2014/chart" uri="{C3380CC4-5D6E-409C-BE32-E72D297353CC}">
              <c16:uniqueId val="{00000004-0BD3-4EDB-A652-01A71768A350}"/>
            </c:ext>
          </c:extLst>
        </c:ser>
        <c:ser>
          <c:idx val="3"/>
          <c:order val="1"/>
          <c:tx>
            <c:strRef>
              <c:f>'UH-Zahl AMS BAU'!$A$25</c:f>
              <c:strCache>
                <c:ptCount val="1"/>
                <c:pt idx="0">
                  <c:v>Durchnittliche UH-Zahl aller BG BAU Mitgliedsunternehmen</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dLbl>
              <c:idx val="0"/>
              <c:layout>
                <c:manualLayout>
                  <c:x val="-1.0987124463519314E-2"/>
                  <c:y val="-4.62962962962963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D3-4EDB-A652-01A71768A350}"/>
                </c:ext>
              </c:extLst>
            </c:dLbl>
            <c:dLbl>
              <c:idx val="1"/>
              <c:layout>
                <c:manualLayout>
                  <c:x val="-4.5321888412017168E-2"/>
                  <c:y val="-4.62962962962962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D3-4EDB-A652-01A71768A350}"/>
                </c:ext>
              </c:extLst>
            </c:dLbl>
            <c:dLbl>
              <c:idx val="2"/>
              <c:layout>
                <c:manualLayout>
                  <c:x val="-3.9599427753934192E-2"/>
                  <c:y val="-5.09259259259259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D3-4EDB-A652-01A71768A35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'UH-Zahl AMS BAU'!$B$21:$D$21</c:f>
              <c:strCache>
                <c:ptCount val="3"/>
                <c:pt idx="0">
                  <c:v>Kalenderjahr 1
(z.B. 2020)</c:v>
                </c:pt>
                <c:pt idx="1">
                  <c:v>Kalenderjahr 2
(z.B. 2021)</c:v>
                </c:pt>
                <c:pt idx="2">
                  <c:v>Kalenderjahr 3
(z.B. 2022)</c:v>
                </c:pt>
              </c:strCache>
            </c:strRef>
          </c:cat>
          <c:val>
            <c:numRef>
              <c:f>'UH-Zahl AMS BAU'!$B$25:$D$25</c:f>
              <c:numCache>
                <c:formatCode>0.00</c:formatCode>
                <c:ptCount val="3"/>
                <c:pt idx="0">
                  <c:v>32.78</c:v>
                </c:pt>
                <c:pt idx="1">
                  <c:v>32.369999999999997</c:v>
                </c:pt>
                <c:pt idx="2">
                  <c:v>30.55</c:v>
                </c:pt>
              </c:numCache>
            </c:numRef>
          </c:val>
          <c:smooth val="0"/>
          <c:extLst>
            <c:ext xmlns:c16="http://schemas.microsoft.com/office/drawing/2014/chart" uri="{C3380CC4-5D6E-409C-BE32-E72D297353CC}">
              <c16:uniqueId val="{00000005-0BD3-4EDB-A652-01A71768A350}"/>
            </c:ext>
          </c:extLst>
        </c:ser>
        <c:dLbls>
          <c:dLblPos val="ctr"/>
          <c:showLegendKey val="0"/>
          <c:showVal val="1"/>
          <c:showCatName val="0"/>
          <c:showSerName val="0"/>
          <c:showPercent val="0"/>
          <c:showBubbleSize val="0"/>
        </c:dLbls>
        <c:marker val="1"/>
        <c:smooth val="0"/>
        <c:axId val="687528232"/>
        <c:axId val="687523912"/>
      </c:lineChart>
      <c:catAx>
        <c:axId val="687528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87523912"/>
        <c:crosses val="autoZero"/>
        <c:auto val="1"/>
        <c:lblAlgn val="ctr"/>
        <c:lblOffset val="100"/>
        <c:noMultiLvlLbl val="0"/>
      </c:catAx>
      <c:valAx>
        <c:axId val="6875239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875282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Arial" panose="020B0604020202020204" pitchFamily="34" charset="0"/>
                <a:ea typeface="+mn-ea"/>
                <a:cs typeface="Arial" panose="020B0604020202020204" pitchFamily="34" charset="0"/>
              </a:defRPr>
            </a:pPr>
            <a:r>
              <a:rPr lang="de-DE" sz="1100">
                <a:solidFill>
                  <a:schemeClr val="tx1"/>
                </a:solidFill>
                <a:latin typeface="Arial" panose="020B0604020202020204" pitchFamily="34" charset="0"/>
                <a:cs typeface="Arial" panose="020B0604020202020204" pitchFamily="34" charset="0"/>
              </a:rPr>
              <a:t>E</a:t>
            </a:r>
            <a:r>
              <a:rPr lang="de-DE" sz="1100" cap="none" baseline="0">
                <a:solidFill>
                  <a:schemeClr val="tx1"/>
                </a:solidFill>
                <a:latin typeface="Arial" panose="020B0604020202020204" pitchFamily="34" charset="0"/>
                <a:cs typeface="Arial" panose="020B0604020202020204" pitchFamily="34" charset="0"/>
              </a:rPr>
              <a:t>ntwicklung</a:t>
            </a:r>
            <a:r>
              <a:rPr lang="de-DE" sz="1100">
                <a:solidFill>
                  <a:schemeClr val="tx1"/>
                </a:solidFill>
                <a:latin typeface="Arial" panose="020B0604020202020204" pitchFamily="34" charset="0"/>
                <a:cs typeface="Arial" panose="020B0604020202020204" pitchFamily="34" charset="0"/>
              </a:rPr>
              <a:t> TPQ</a:t>
            </a:r>
          </a:p>
        </c:rich>
      </c:tx>
      <c:overlay val="0"/>
      <c:spPr>
        <a:noFill/>
        <a:ln>
          <a:noFill/>
        </a:ln>
        <a:effectLst/>
      </c:spPr>
      <c:txPr>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de-DE"/>
        </a:p>
      </c:txPr>
    </c:title>
    <c:autoTitleDeleted val="0"/>
    <c:plotArea>
      <c:layout/>
      <c:lineChart>
        <c:grouping val="standard"/>
        <c:varyColors val="0"/>
        <c:ser>
          <c:idx val="2"/>
          <c:order val="0"/>
          <c:tx>
            <c:strRef>
              <c:f>TPQ!$A$17</c:f>
              <c:strCache>
                <c:ptCount val="1"/>
                <c:pt idx="0">
                  <c:v>TPQ</c:v>
                </c:pt>
              </c:strCache>
            </c:strRef>
          </c:tx>
          <c:spPr>
            <a:ln w="28575" cap="rnd">
              <a:solidFill>
                <a:schemeClr val="accent4"/>
              </a:solidFill>
              <a:round/>
            </a:ln>
            <a:effectLst/>
          </c:spPr>
          <c:marker>
            <c:symbol val="circle"/>
            <c:size val="6"/>
            <c:spPr>
              <a:solidFill>
                <a:schemeClr val="accent4"/>
              </a:solidFill>
              <a:ln>
                <a:noFill/>
              </a:ln>
              <a:effectLst/>
            </c:spPr>
          </c:marker>
          <c:cat>
            <c:strRef>
              <c:f>TPQ!$B$14:$D$14</c:f>
              <c:strCache>
                <c:ptCount val="3"/>
                <c:pt idx="0">
                  <c:v>Kalenderjahr 1
(z.B. 2020)</c:v>
                </c:pt>
                <c:pt idx="1">
                  <c:v>Kalenderjahr 2
(z.B. 2021)</c:v>
                </c:pt>
                <c:pt idx="2">
                  <c:v>Kalenderjahr 3
(z.B. 2022)</c:v>
                </c:pt>
              </c:strCache>
            </c:strRef>
          </c:cat>
          <c:val>
            <c:numRef>
              <c:f>TPQ!$B$17:$D$17</c:f>
              <c:numCache>
                <c:formatCode>0.00</c:formatCode>
                <c:ptCount val="3"/>
                <c:pt idx="0">
                  <c:v>78.431372549019613</c:v>
                </c:pt>
                <c:pt idx="1">
                  <c:v>57.692307692307693</c:v>
                </c:pt>
                <c:pt idx="2">
                  <c:v>28.30188679245283</c:v>
                </c:pt>
              </c:numCache>
            </c:numRef>
          </c:val>
          <c:smooth val="0"/>
          <c:extLst>
            <c:ext xmlns:c16="http://schemas.microsoft.com/office/drawing/2014/chart" uri="{C3380CC4-5D6E-409C-BE32-E72D297353CC}">
              <c16:uniqueId val="{00000002-827B-4B52-8736-79EC181EC285}"/>
            </c:ext>
          </c:extLst>
        </c:ser>
        <c:dLbls>
          <c:showLegendKey val="0"/>
          <c:showVal val="0"/>
          <c:showCatName val="0"/>
          <c:showSerName val="0"/>
          <c:showPercent val="0"/>
          <c:showBubbleSize val="0"/>
        </c:dLbls>
        <c:marker val="1"/>
        <c:smooth val="0"/>
        <c:axId val="625184552"/>
        <c:axId val="625179152"/>
      </c:lineChart>
      <c:catAx>
        <c:axId val="62518455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crossAx val="625179152"/>
        <c:crosses val="autoZero"/>
        <c:auto val="1"/>
        <c:lblAlgn val="ctr"/>
        <c:lblOffset val="100"/>
        <c:noMultiLvlLbl val="0"/>
      </c:catAx>
      <c:valAx>
        <c:axId val="625179152"/>
        <c:scaling>
          <c:orientation val="minMax"/>
        </c:scaling>
        <c:delete val="0"/>
        <c:axPos val="l"/>
        <c:majorGridlines>
          <c:spPr>
            <a:ln>
              <a:solidFill>
                <a:schemeClr val="tx1">
                  <a:lumMod val="15000"/>
                  <a:lumOff val="85000"/>
                </a:schemeClr>
              </a:solidFill>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crossAx val="625184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Arial" panose="020B0604020202020204" pitchFamily="34" charset="0"/>
                <a:ea typeface="+mn-ea"/>
                <a:cs typeface="Arial" panose="020B0604020202020204" pitchFamily="34" charset="0"/>
              </a:defRPr>
            </a:pPr>
            <a:r>
              <a:rPr lang="de-DE" sz="1100">
                <a:solidFill>
                  <a:schemeClr val="tx1"/>
                </a:solidFill>
                <a:latin typeface="Arial" panose="020B0604020202020204" pitchFamily="34" charset="0"/>
                <a:cs typeface="Arial" panose="020B0604020202020204" pitchFamily="34" charset="0"/>
              </a:rPr>
              <a:t>E</a:t>
            </a:r>
            <a:r>
              <a:rPr lang="de-DE" sz="1100" cap="none" baseline="0">
                <a:solidFill>
                  <a:schemeClr val="tx1"/>
                </a:solidFill>
                <a:latin typeface="Arial" panose="020B0604020202020204" pitchFamily="34" charset="0"/>
                <a:cs typeface="Arial" panose="020B0604020202020204" pitchFamily="34" charset="0"/>
              </a:rPr>
              <a:t>ntwicklung</a:t>
            </a:r>
            <a:r>
              <a:rPr lang="de-DE" sz="1100">
                <a:solidFill>
                  <a:schemeClr val="tx1"/>
                </a:solidFill>
                <a:latin typeface="Arial" panose="020B0604020202020204" pitchFamily="34" charset="0"/>
                <a:cs typeface="Arial" panose="020B0604020202020204" pitchFamily="34" charset="0"/>
              </a:rPr>
              <a:t> </a:t>
            </a:r>
            <a:r>
              <a:rPr lang="de-DE" sz="1100" cap="none" baseline="0">
                <a:solidFill>
                  <a:schemeClr val="tx1"/>
                </a:solidFill>
                <a:latin typeface="Arial" panose="020B0604020202020204" pitchFamily="34" charset="0"/>
                <a:cs typeface="Arial" panose="020B0604020202020204" pitchFamily="34" charset="0"/>
              </a:rPr>
              <a:t>SG</a:t>
            </a:r>
            <a:r>
              <a:rPr lang="de-DE" sz="1100" cap="none" baseline="-25000">
                <a:solidFill>
                  <a:schemeClr val="tx1"/>
                </a:solidFill>
                <a:latin typeface="Arial" panose="020B0604020202020204" pitchFamily="34" charset="0"/>
                <a:cs typeface="Arial" panose="020B0604020202020204" pitchFamily="34" charset="0"/>
              </a:rPr>
              <a:t>Unternehmen</a:t>
            </a:r>
            <a:r>
              <a:rPr lang="de-DE" sz="1100" baseline="0">
                <a:solidFill>
                  <a:schemeClr val="tx1"/>
                </a:solidFill>
                <a:latin typeface="Arial" panose="020B0604020202020204" pitchFamily="34" charset="0"/>
                <a:cs typeface="Arial" panose="020B0604020202020204" pitchFamily="34" charset="0"/>
              </a:rPr>
              <a:t> </a:t>
            </a:r>
            <a:endParaRPr lang="de-DE" sz="1100">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de-DE"/>
        </a:p>
      </c:txPr>
    </c:title>
    <c:autoTitleDeleted val="0"/>
    <c:plotArea>
      <c:layout/>
      <c:lineChart>
        <c:grouping val="standard"/>
        <c:varyColors val="0"/>
        <c:ser>
          <c:idx val="2"/>
          <c:order val="0"/>
          <c:tx>
            <c:strRef>
              <c:f>SGUnternehmen!$A$17</c:f>
              <c:strCache>
                <c:ptCount val="1"/>
                <c:pt idx="0">
                  <c:v>SGUnternehmen</c:v>
                </c:pt>
              </c:strCache>
            </c:strRef>
          </c:tx>
          <c:spPr>
            <a:ln w="28575" cap="rnd">
              <a:solidFill>
                <a:schemeClr val="accent3"/>
              </a:solidFill>
              <a:round/>
            </a:ln>
            <a:effectLst/>
          </c:spPr>
          <c:marker>
            <c:symbol val="circle"/>
            <c:size val="6"/>
            <c:spPr>
              <a:solidFill>
                <a:schemeClr val="accent3"/>
              </a:solidFill>
              <a:ln>
                <a:noFill/>
              </a:ln>
              <a:effectLst/>
            </c:spPr>
          </c:marker>
          <c:cat>
            <c:strRef>
              <c:f>SGUnternehmen!$B$14:$D$14</c:f>
              <c:strCache>
                <c:ptCount val="3"/>
                <c:pt idx="0">
                  <c:v>Kalenderjahr 1
(z.B. 2020)</c:v>
                </c:pt>
                <c:pt idx="1">
                  <c:v>Kalenderjahr 2
(z.B. 2021)</c:v>
                </c:pt>
                <c:pt idx="2">
                  <c:v>Kalenderjahr 3
(z.B. 2022)</c:v>
                </c:pt>
              </c:strCache>
            </c:strRef>
          </c:cat>
          <c:val>
            <c:numRef>
              <c:f>SGUnternehmen!$B$17:$D$17</c:f>
              <c:numCache>
                <c:formatCode>0.00</c:formatCode>
                <c:ptCount val="3"/>
                <c:pt idx="0">
                  <c:v>294.11764705882354</c:v>
                </c:pt>
                <c:pt idx="1">
                  <c:v>240.38461538461539</c:v>
                </c:pt>
                <c:pt idx="2">
                  <c:v>141.50943396226415</c:v>
                </c:pt>
              </c:numCache>
            </c:numRef>
          </c:val>
          <c:smooth val="0"/>
          <c:extLst>
            <c:ext xmlns:c16="http://schemas.microsoft.com/office/drawing/2014/chart" uri="{C3380CC4-5D6E-409C-BE32-E72D297353CC}">
              <c16:uniqueId val="{00000000-667C-4468-8748-A1AA02DB5659}"/>
            </c:ext>
          </c:extLst>
        </c:ser>
        <c:dLbls>
          <c:showLegendKey val="0"/>
          <c:showVal val="0"/>
          <c:showCatName val="0"/>
          <c:showSerName val="0"/>
          <c:showPercent val="0"/>
          <c:showBubbleSize val="0"/>
        </c:dLbls>
        <c:marker val="1"/>
        <c:smooth val="0"/>
        <c:axId val="625184552"/>
        <c:axId val="625179152"/>
      </c:lineChart>
      <c:catAx>
        <c:axId val="62518455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crossAx val="625179152"/>
        <c:crosses val="autoZero"/>
        <c:auto val="1"/>
        <c:lblAlgn val="ctr"/>
        <c:lblOffset val="100"/>
        <c:noMultiLvlLbl val="0"/>
      </c:catAx>
      <c:valAx>
        <c:axId val="625179152"/>
        <c:scaling>
          <c:orientation val="minMax"/>
        </c:scaling>
        <c:delete val="0"/>
        <c:axPos val="l"/>
        <c:majorGridlines>
          <c:spPr>
            <a:ln>
              <a:solidFill>
                <a:schemeClr val="tx1">
                  <a:lumMod val="15000"/>
                  <a:lumOff val="85000"/>
                </a:schemeClr>
              </a:solidFill>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crossAx val="625184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Arial" panose="020B0604020202020204" pitchFamily="34" charset="0"/>
                <a:ea typeface="+mn-ea"/>
                <a:cs typeface="Arial" panose="020B0604020202020204" pitchFamily="34" charset="0"/>
              </a:defRPr>
            </a:pPr>
            <a:r>
              <a:rPr lang="de-DE" sz="1100">
                <a:solidFill>
                  <a:schemeClr val="tx1"/>
                </a:solidFill>
                <a:latin typeface="Arial" panose="020B0604020202020204" pitchFamily="34" charset="0"/>
                <a:cs typeface="Arial" panose="020B0604020202020204" pitchFamily="34" charset="0"/>
              </a:rPr>
              <a:t>E</a:t>
            </a:r>
            <a:r>
              <a:rPr lang="de-DE" sz="1100" cap="none" baseline="0">
                <a:solidFill>
                  <a:schemeClr val="tx1"/>
                </a:solidFill>
                <a:latin typeface="Arial" panose="020B0604020202020204" pitchFamily="34" charset="0"/>
                <a:cs typeface="Arial" panose="020B0604020202020204" pitchFamily="34" charset="0"/>
              </a:rPr>
              <a:t>ntwicklung</a:t>
            </a:r>
            <a:r>
              <a:rPr lang="de-DE" sz="1100">
                <a:solidFill>
                  <a:schemeClr val="tx1"/>
                </a:solidFill>
                <a:latin typeface="Arial" panose="020B0604020202020204" pitchFamily="34" charset="0"/>
                <a:cs typeface="Arial" panose="020B0604020202020204" pitchFamily="34" charset="0"/>
              </a:rPr>
              <a:t> </a:t>
            </a:r>
            <a:r>
              <a:rPr lang="de-DE" sz="1100" cap="none" baseline="0">
                <a:solidFill>
                  <a:schemeClr val="tx1"/>
                </a:solidFill>
                <a:latin typeface="Arial" panose="020B0604020202020204" pitchFamily="34" charset="0"/>
                <a:cs typeface="Arial" panose="020B0604020202020204" pitchFamily="34" charset="0"/>
              </a:rPr>
              <a:t>SG</a:t>
            </a:r>
            <a:r>
              <a:rPr lang="de-DE" sz="1100" cap="none" baseline="-25000">
                <a:solidFill>
                  <a:schemeClr val="tx1"/>
                </a:solidFill>
                <a:latin typeface="Arial" panose="020B0604020202020204" pitchFamily="34" charset="0"/>
                <a:cs typeface="Arial" panose="020B0604020202020204" pitchFamily="34" charset="0"/>
              </a:rPr>
              <a:t>proArbeitsunfall</a:t>
            </a:r>
            <a:r>
              <a:rPr lang="de-DE" sz="1100" baseline="0">
                <a:solidFill>
                  <a:schemeClr val="tx1"/>
                </a:solidFill>
                <a:latin typeface="Arial" panose="020B0604020202020204" pitchFamily="34" charset="0"/>
                <a:cs typeface="Arial" panose="020B0604020202020204" pitchFamily="34" charset="0"/>
              </a:rPr>
              <a:t> </a:t>
            </a:r>
            <a:endParaRPr lang="de-DE" sz="1100">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de-DE"/>
        </a:p>
      </c:txPr>
    </c:title>
    <c:autoTitleDeleted val="0"/>
    <c:plotArea>
      <c:layout/>
      <c:lineChart>
        <c:grouping val="standard"/>
        <c:varyColors val="0"/>
        <c:ser>
          <c:idx val="2"/>
          <c:order val="0"/>
          <c:tx>
            <c:strRef>
              <c:f>SGproUnfall!$A$17</c:f>
              <c:strCache>
                <c:ptCount val="1"/>
                <c:pt idx="0">
                  <c:v>SGpro Arbeitsunfall</c:v>
                </c:pt>
              </c:strCache>
            </c:strRef>
          </c:tx>
          <c:spPr>
            <a:ln w="28575" cap="rnd">
              <a:solidFill>
                <a:schemeClr val="accent3"/>
              </a:solidFill>
              <a:round/>
            </a:ln>
            <a:effectLst/>
          </c:spPr>
          <c:marker>
            <c:symbol val="circle"/>
            <c:size val="6"/>
            <c:spPr>
              <a:solidFill>
                <a:schemeClr val="accent3"/>
              </a:solidFill>
              <a:ln>
                <a:noFill/>
              </a:ln>
              <a:effectLst/>
            </c:spPr>
          </c:marker>
          <c:cat>
            <c:strRef>
              <c:f>SGproUnfall!$B$14:$D$14</c:f>
              <c:strCache>
                <c:ptCount val="3"/>
                <c:pt idx="0">
                  <c:v>Unfall 1</c:v>
                </c:pt>
                <c:pt idx="1">
                  <c:v>Unfall 2</c:v>
                </c:pt>
                <c:pt idx="2">
                  <c:v>Unfall 3</c:v>
                </c:pt>
              </c:strCache>
            </c:strRef>
          </c:cat>
          <c:val>
            <c:numRef>
              <c:f>SGproUnfall!$B$17:$D$17</c:f>
              <c:numCache>
                <c:formatCode>0.00</c:formatCode>
                <c:ptCount val="3"/>
                <c:pt idx="0">
                  <c:v>211.53846153846155</c:v>
                </c:pt>
                <c:pt idx="1">
                  <c:v>115.38461538461539</c:v>
                </c:pt>
                <c:pt idx="2">
                  <c:v>38.46153846153846</c:v>
                </c:pt>
              </c:numCache>
            </c:numRef>
          </c:val>
          <c:smooth val="0"/>
          <c:extLst>
            <c:ext xmlns:c16="http://schemas.microsoft.com/office/drawing/2014/chart" uri="{C3380CC4-5D6E-409C-BE32-E72D297353CC}">
              <c16:uniqueId val="{00000000-307D-436E-87CB-111FE315D4C0}"/>
            </c:ext>
          </c:extLst>
        </c:ser>
        <c:dLbls>
          <c:showLegendKey val="0"/>
          <c:showVal val="0"/>
          <c:showCatName val="0"/>
          <c:showSerName val="0"/>
          <c:showPercent val="0"/>
          <c:showBubbleSize val="0"/>
        </c:dLbls>
        <c:marker val="1"/>
        <c:smooth val="0"/>
        <c:axId val="625184552"/>
        <c:axId val="625179152"/>
      </c:lineChart>
      <c:catAx>
        <c:axId val="62518455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crossAx val="625179152"/>
        <c:crosses val="autoZero"/>
        <c:auto val="1"/>
        <c:lblAlgn val="ctr"/>
        <c:lblOffset val="100"/>
        <c:noMultiLvlLbl val="0"/>
      </c:catAx>
      <c:valAx>
        <c:axId val="625179152"/>
        <c:scaling>
          <c:orientation val="minMax"/>
        </c:scaling>
        <c:delete val="0"/>
        <c:axPos val="l"/>
        <c:majorGridlines>
          <c:spPr>
            <a:ln>
              <a:solidFill>
                <a:schemeClr val="tx1">
                  <a:lumMod val="15000"/>
                  <a:lumOff val="85000"/>
                </a:schemeClr>
              </a:solidFill>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crossAx val="625184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u="none" strike="noStrike" kern="1200" cap="all" spc="150" baseline="0">
                <a:solidFill>
                  <a:schemeClr val="tx1"/>
                </a:solidFill>
                <a:latin typeface="+mn-lt"/>
                <a:ea typeface="+mn-ea"/>
                <a:cs typeface="+mn-cs"/>
              </a:defRPr>
            </a:pPr>
            <a:r>
              <a:rPr lang="de-DE" sz="1050" cap="none" baseline="0">
                <a:solidFill>
                  <a:schemeClr val="tx1"/>
                </a:solidFill>
              </a:rPr>
              <a:t>Entwicklung TFIR, FAT, LTC, MTC und RWC</a:t>
            </a:r>
          </a:p>
        </c:rich>
      </c:tx>
      <c:overlay val="0"/>
      <c:spPr>
        <a:noFill/>
        <a:ln>
          <a:noFill/>
        </a:ln>
        <a:effectLst/>
      </c:spPr>
      <c:txPr>
        <a:bodyPr rot="0" spcFirstLastPara="1" vertOverflow="ellipsis" vert="horz" wrap="square" anchor="ctr" anchorCtr="1"/>
        <a:lstStyle/>
        <a:p>
          <a:pPr>
            <a:defRPr sz="1050" b="1" i="0" u="none" strike="noStrike" kern="1200" cap="all" spc="150" baseline="0">
              <a:solidFill>
                <a:schemeClr val="tx1"/>
              </a:solidFill>
              <a:latin typeface="+mn-lt"/>
              <a:ea typeface="+mn-ea"/>
              <a:cs typeface="+mn-cs"/>
            </a:defRPr>
          </a:pPr>
          <a:endParaRPr lang="de-DE"/>
        </a:p>
      </c:txPr>
    </c:title>
    <c:autoTitleDeleted val="0"/>
    <c:plotArea>
      <c:layout/>
      <c:barChart>
        <c:barDir val="col"/>
        <c:grouping val="stacked"/>
        <c:varyColors val="0"/>
        <c:ser>
          <c:idx val="1"/>
          <c:order val="0"/>
          <c:tx>
            <c:strRef>
              <c:f>LTIF!$A$17</c:f>
              <c:strCache>
                <c:ptCount val="1"/>
                <c:pt idx="0">
                  <c:v>FAT</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LTIF!$B$15:$D$15</c:f>
              <c:strCache>
                <c:ptCount val="3"/>
                <c:pt idx="0">
                  <c:v>Kalenderjahr 1
(z.B. 2020)</c:v>
                </c:pt>
                <c:pt idx="1">
                  <c:v>Kalenderjahr 2
(z.B. 2021)</c:v>
                </c:pt>
                <c:pt idx="2">
                  <c:v>Kalenderjahr 3
(z.B. 2022)</c:v>
                </c:pt>
              </c:strCache>
            </c:strRef>
          </c:cat>
          <c:val>
            <c:numRef>
              <c:f>LTIF!$B$17:$D$17</c:f>
              <c:numCache>
                <c:formatCode>General</c:formatCode>
                <c:ptCount val="3"/>
                <c:pt idx="0">
                  <c:v>2</c:v>
                </c:pt>
                <c:pt idx="1">
                  <c:v>0</c:v>
                </c:pt>
                <c:pt idx="2">
                  <c:v>0</c:v>
                </c:pt>
              </c:numCache>
            </c:numRef>
          </c:val>
          <c:extLst>
            <c:ext xmlns:c16="http://schemas.microsoft.com/office/drawing/2014/chart" uri="{C3380CC4-5D6E-409C-BE32-E72D297353CC}">
              <c16:uniqueId val="{00000000-C143-48D9-B924-42D1EF288168}"/>
            </c:ext>
          </c:extLst>
        </c:ser>
        <c:ser>
          <c:idx val="2"/>
          <c:order val="1"/>
          <c:tx>
            <c:strRef>
              <c:f>LTIF!$A$18</c:f>
              <c:strCache>
                <c:ptCount val="1"/>
                <c:pt idx="0">
                  <c:v>LTC</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LTIF!$B$15:$D$15</c:f>
              <c:strCache>
                <c:ptCount val="3"/>
                <c:pt idx="0">
                  <c:v>Kalenderjahr 1
(z.B. 2020)</c:v>
                </c:pt>
                <c:pt idx="1">
                  <c:v>Kalenderjahr 2
(z.B. 2021)</c:v>
                </c:pt>
                <c:pt idx="2">
                  <c:v>Kalenderjahr 3
(z.B. 2022)</c:v>
                </c:pt>
              </c:strCache>
            </c:strRef>
          </c:cat>
          <c:val>
            <c:numRef>
              <c:f>LTIF!$B$18:$D$18</c:f>
              <c:numCache>
                <c:formatCode>General</c:formatCode>
                <c:ptCount val="3"/>
                <c:pt idx="0">
                  <c:v>12</c:v>
                </c:pt>
                <c:pt idx="1">
                  <c:v>12</c:v>
                </c:pt>
                <c:pt idx="2">
                  <c:v>10</c:v>
                </c:pt>
              </c:numCache>
            </c:numRef>
          </c:val>
          <c:extLst>
            <c:ext xmlns:c16="http://schemas.microsoft.com/office/drawing/2014/chart" uri="{C3380CC4-5D6E-409C-BE32-E72D297353CC}">
              <c16:uniqueId val="{00000001-C143-48D9-B924-42D1EF288168}"/>
            </c:ext>
          </c:extLst>
        </c:ser>
        <c:dLbls>
          <c:showLegendKey val="0"/>
          <c:showVal val="0"/>
          <c:showCatName val="0"/>
          <c:showSerName val="0"/>
          <c:showPercent val="0"/>
          <c:showBubbleSize val="0"/>
        </c:dLbls>
        <c:gapWidth val="219"/>
        <c:overlap val="100"/>
        <c:axId val="707087344"/>
        <c:axId val="707085544"/>
      </c:barChart>
      <c:lineChart>
        <c:grouping val="standard"/>
        <c:varyColors val="0"/>
        <c:ser>
          <c:idx val="5"/>
          <c:order val="2"/>
          <c:tx>
            <c:strRef>
              <c:f>LTIF!$A$19</c:f>
              <c:strCache>
                <c:ptCount val="1"/>
                <c:pt idx="0">
                  <c:v>LTIF</c:v>
                </c:pt>
              </c:strCache>
            </c:strRef>
          </c:tx>
          <c:spPr>
            <a:ln w="28575" cap="rnd">
              <a:solidFill>
                <a:schemeClr val="accent6"/>
              </a:solidFill>
              <a:round/>
            </a:ln>
            <a:effectLst/>
          </c:spPr>
          <c:marker>
            <c:symbol val="none"/>
          </c:marker>
          <c:cat>
            <c:strRef>
              <c:f>LTIF!$B$15:$D$15</c:f>
              <c:strCache>
                <c:ptCount val="3"/>
                <c:pt idx="0">
                  <c:v>Kalenderjahr 1
(z.B. 2020)</c:v>
                </c:pt>
                <c:pt idx="1">
                  <c:v>Kalenderjahr 2
(z.B. 2021)</c:v>
                </c:pt>
                <c:pt idx="2">
                  <c:v>Kalenderjahr 3
(z.B. 2022)</c:v>
                </c:pt>
              </c:strCache>
            </c:strRef>
          </c:cat>
          <c:val>
            <c:numRef>
              <c:f>LTIF!$B$19:$D$19</c:f>
              <c:numCache>
                <c:formatCode>0.00</c:formatCode>
                <c:ptCount val="3"/>
                <c:pt idx="0">
                  <c:v>6.666666666666667</c:v>
                </c:pt>
                <c:pt idx="1">
                  <c:v>5.7007125890736345</c:v>
                </c:pt>
                <c:pt idx="2">
                  <c:v>4.7607712449416804</c:v>
                </c:pt>
              </c:numCache>
            </c:numRef>
          </c:val>
          <c:smooth val="0"/>
          <c:extLst>
            <c:ext xmlns:c16="http://schemas.microsoft.com/office/drawing/2014/chart" uri="{C3380CC4-5D6E-409C-BE32-E72D297353CC}">
              <c16:uniqueId val="{00000004-C143-48D9-B924-42D1EF288168}"/>
            </c:ext>
          </c:extLst>
        </c:ser>
        <c:dLbls>
          <c:showLegendKey val="0"/>
          <c:showVal val="0"/>
          <c:showCatName val="0"/>
          <c:showSerName val="0"/>
          <c:showPercent val="0"/>
          <c:showBubbleSize val="0"/>
        </c:dLbls>
        <c:marker val="1"/>
        <c:smooth val="0"/>
        <c:axId val="645202152"/>
        <c:axId val="645203232"/>
      </c:lineChart>
      <c:catAx>
        <c:axId val="70708734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07085544"/>
        <c:crosses val="autoZero"/>
        <c:auto val="1"/>
        <c:lblAlgn val="ctr"/>
        <c:lblOffset val="100"/>
        <c:noMultiLvlLbl val="0"/>
      </c:catAx>
      <c:valAx>
        <c:axId val="707085544"/>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crossAx val="707087344"/>
        <c:crosses val="autoZero"/>
        <c:crossBetween val="between"/>
      </c:valAx>
      <c:valAx>
        <c:axId val="645203232"/>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de-DE"/>
          </a:p>
        </c:txPr>
        <c:crossAx val="645202152"/>
        <c:crosses val="max"/>
        <c:crossBetween val="between"/>
      </c:valAx>
      <c:catAx>
        <c:axId val="645202152"/>
        <c:scaling>
          <c:orientation val="minMax"/>
        </c:scaling>
        <c:delete val="1"/>
        <c:axPos val="b"/>
        <c:numFmt formatCode="General" sourceLinked="1"/>
        <c:majorTickMark val="none"/>
        <c:minorTickMark val="none"/>
        <c:tickLblPos val="nextTo"/>
        <c:crossAx val="64520323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u="none" strike="noStrike" kern="1200" cap="all" spc="150" baseline="0">
                <a:solidFill>
                  <a:schemeClr val="tx1"/>
                </a:solidFill>
                <a:latin typeface="+mn-lt"/>
                <a:ea typeface="+mn-ea"/>
                <a:cs typeface="+mn-cs"/>
              </a:defRPr>
            </a:pPr>
            <a:r>
              <a:rPr lang="de-DE" sz="1050" cap="none" baseline="0">
                <a:solidFill>
                  <a:schemeClr val="tx1"/>
                </a:solidFill>
              </a:rPr>
              <a:t>Entwicklung TFIR, FAT, LTC, MTC und RWC</a:t>
            </a:r>
          </a:p>
        </c:rich>
      </c:tx>
      <c:overlay val="0"/>
      <c:spPr>
        <a:noFill/>
        <a:ln>
          <a:noFill/>
        </a:ln>
        <a:effectLst/>
      </c:spPr>
      <c:txPr>
        <a:bodyPr rot="0" spcFirstLastPara="1" vertOverflow="ellipsis" vert="horz" wrap="square" anchor="ctr" anchorCtr="1"/>
        <a:lstStyle/>
        <a:p>
          <a:pPr>
            <a:defRPr sz="1050" b="1" i="0" u="none" strike="noStrike" kern="1200" cap="all" spc="150" baseline="0">
              <a:solidFill>
                <a:schemeClr val="tx1"/>
              </a:solidFill>
              <a:latin typeface="+mn-lt"/>
              <a:ea typeface="+mn-ea"/>
              <a:cs typeface="+mn-cs"/>
            </a:defRPr>
          </a:pPr>
          <a:endParaRPr lang="de-DE"/>
        </a:p>
      </c:txPr>
    </c:title>
    <c:autoTitleDeleted val="0"/>
    <c:plotArea>
      <c:layout/>
      <c:barChart>
        <c:barDir val="col"/>
        <c:grouping val="stacked"/>
        <c:varyColors val="0"/>
        <c:ser>
          <c:idx val="1"/>
          <c:order val="0"/>
          <c:tx>
            <c:strRef>
              <c:f>TRIFR!$A$19</c:f>
              <c:strCache>
                <c:ptCount val="1"/>
                <c:pt idx="0">
                  <c:v>FAT</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TRIFR!$B$17:$D$17</c:f>
              <c:strCache>
                <c:ptCount val="3"/>
                <c:pt idx="0">
                  <c:v>Kalenderjahr 1
(z.B. 2020)</c:v>
                </c:pt>
                <c:pt idx="1">
                  <c:v>Kalenderjahr 2
(z.B. 2021)</c:v>
                </c:pt>
                <c:pt idx="2">
                  <c:v>Kalenderjahr 3
(z.B. 2022)</c:v>
                </c:pt>
              </c:strCache>
            </c:strRef>
          </c:cat>
          <c:val>
            <c:numRef>
              <c:f>TRIFR!$B$19:$D$19</c:f>
              <c:numCache>
                <c:formatCode>General</c:formatCode>
                <c:ptCount val="3"/>
                <c:pt idx="0">
                  <c:v>2</c:v>
                </c:pt>
                <c:pt idx="1">
                  <c:v>0</c:v>
                </c:pt>
                <c:pt idx="2">
                  <c:v>0</c:v>
                </c:pt>
              </c:numCache>
            </c:numRef>
          </c:val>
          <c:extLst>
            <c:ext xmlns:c16="http://schemas.microsoft.com/office/drawing/2014/chart" uri="{C3380CC4-5D6E-409C-BE32-E72D297353CC}">
              <c16:uniqueId val="{00000001-3461-4EB1-A5C4-151B9B2F322F}"/>
            </c:ext>
          </c:extLst>
        </c:ser>
        <c:ser>
          <c:idx val="2"/>
          <c:order val="1"/>
          <c:tx>
            <c:strRef>
              <c:f>TRIFR!$A$20</c:f>
              <c:strCache>
                <c:ptCount val="1"/>
                <c:pt idx="0">
                  <c:v>LTC</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TRIFR!$B$17:$D$17</c:f>
              <c:strCache>
                <c:ptCount val="3"/>
                <c:pt idx="0">
                  <c:v>Kalenderjahr 1
(z.B. 2020)</c:v>
                </c:pt>
                <c:pt idx="1">
                  <c:v>Kalenderjahr 2
(z.B. 2021)</c:v>
                </c:pt>
                <c:pt idx="2">
                  <c:v>Kalenderjahr 3
(z.B. 2022)</c:v>
                </c:pt>
              </c:strCache>
            </c:strRef>
          </c:cat>
          <c:val>
            <c:numRef>
              <c:f>TRIFR!$B$20:$D$20</c:f>
              <c:numCache>
                <c:formatCode>General</c:formatCode>
                <c:ptCount val="3"/>
                <c:pt idx="0">
                  <c:v>12</c:v>
                </c:pt>
                <c:pt idx="1">
                  <c:v>12</c:v>
                </c:pt>
                <c:pt idx="2">
                  <c:v>10</c:v>
                </c:pt>
              </c:numCache>
            </c:numRef>
          </c:val>
          <c:extLst>
            <c:ext xmlns:c16="http://schemas.microsoft.com/office/drawing/2014/chart" uri="{C3380CC4-5D6E-409C-BE32-E72D297353CC}">
              <c16:uniqueId val="{00000002-3461-4EB1-A5C4-151B9B2F322F}"/>
            </c:ext>
          </c:extLst>
        </c:ser>
        <c:ser>
          <c:idx val="3"/>
          <c:order val="2"/>
          <c:tx>
            <c:strRef>
              <c:f>TRIFR!$A$21</c:f>
              <c:strCache>
                <c:ptCount val="1"/>
                <c:pt idx="0">
                  <c:v>MTC</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TRIFR!$B$17:$D$17</c:f>
              <c:strCache>
                <c:ptCount val="3"/>
                <c:pt idx="0">
                  <c:v>Kalenderjahr 1
(z.B. 2020)</c:v>
                </c:pt>
                <c:pt idx="1">
                  <c:v>Kalenderjahr 2
(z.B. 2021)</c:v>
                </c:pt>
                <c:pt idx="2">
                  <c:v>Kalenderjahr 3
(z.B. 2022)</c:v>
                </c:pt>
              </c:strCache>
            </c:strRef>
          </c:cat>
          <c:val>
            <c:numRef>
              <c:f>TRIFR!$B$21:$D$21</c:f>
              <c:numCache>
                <c:formatCode>General</c:formatCode>
                <c:ptCount val="3"/>
                <c:pt idx="0">
                  <c:v>9</c:v>
                </c:pt>
                <c:pt idx="1">
                  <c:v>8</c:v>
                </c:pt>
                <c:pt idx="2">
                  <c:v>5</c:v>
                </c:pt>
              </c:numCache>
            </c:numRef>
          </c:val>
          <c:extLst>
            <c:ext xmlns:c16="http://schemas.microsoft.com/office/drawing/2014/chart" uri="{C3380CC4-5D6E-409C-BE32-E72D297353CC}">
              <c16:uniqueId val="{00000003-3461-4EB1-A5C4-151B9B2F322F}"/>
            </c:ext>
          </c:extLst>
        </c:ser>
        <c:ser>
          <c:idx val="4"/>
          <c:order val="3"/>
          <c:tx>
            <c:strRef>
              <c:f>TRIFR!$A$22</c:f>
              <c:strCache>
                <c:ptCount val="1"/>
                <c:pt idx="0">
                  <c:v>RWC</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TRIFR!$B$17:$D$17</c:f>
              <c:strCache>
                <c:ptCount val="3"/>
                <c:pt idx="0">
                  <c:v>Kalenderjahr 1
(z.B. 2020)</c:v>
                </c:pt>
                <c:pt idx="1">
                  <c:v>Kalenderjahr 2
(z.B. 2021)</c:v>
                </c:pt>
                <c:pt idx="2">
                  <c:v>Kalenderjahr 3
(z.B. 2022)</c:v>
                </c:pt>
              </c:strCache>
            </c:strRef>
          </c:cat>
          <c:val>
            <c:numRef>
              <c:f>TRIFR!$B$22:$D$22</c:f>
              <c:numCache>
                <c:formatCode>General</c:formatCode>
                <c:ptCount val="3"/>
                <c:pt idx="0">
                  <c:v>1</c:v>
                </c:pt>
                <c:pt idx="1">
                  <c:v>1</c:v>
                </c:pt>
                <c:pt idx="2">
                  <c:v>2</c:v>
                </c:pt>
              </c:numCache>
            </c:numRef>
          </c:val>
          <c:extLst>
            <c:ext xmlns:c16="http://schemas.microsoft.com/office/drawing/2014/chart" uri="{C3380CC4-5D6E-409C-BE32-E72D297353CC}">
              <c16:uniqueId val="{00000004-3461-4EB1-A5C4-151B9B2F322F}"/>
            </c:ext>
          </c:extLst>
        </c:ser>
        <c:dLbls>
          <c:showLegendKey val="0"/>
          <c:showVal val="0"/>
          <c:showCatName val="0"/>
          <c:showSerName val="0"/>
          <c:showPercent val="0"/>
          <c:showBubbleSize val="0"/>
        </c:dLbls>
        <c:gapWidth val="219"/>
        <c:overlap val="100"/>
        <c:axId val="707087344"/>
        <c:axId val="707085544"/>
      </c:barChart>
      <c:lineChart>
        <c:grouping val="standard"/>
        <c:varyColors val="0"/>
        <c:ser>
          <c:idx val="5"/>
          <c:order val="4"/>
          <c:tx>
            <c:strRef>
              <c:f>TRIFR!$A$23</c:f>
              <c:strCache>
                <c:ptCount val="1"/>
                <c:pt idx="0">
                  <c:v>TRIFR</c:v>
                </c:pt>
              </c:strCache>
            </c:strRef>
          </c:tx>
          <c:spPr>
            <a:ln w="28575" cap="rnd">
              <a:solidFill>
                <a:schemeClr val="accent6"/>
              </a:solidFill>
              <a:round/>
            </a:ln>
            <a:effectLst/>
          </c:spPr>
          <c:marker>
            <c:symbol val="none"/>
          </c:marker>
          <c:cat>
            <c:strRef>
              <c:f>TRIFR!$B$17:$D$17</c:f>
              <c:strCache>
                <c:ptCount val="3"/>
                <c:pt idx="0">
                  <c:v>Kalenderjahr 1
(z.B. 2020)</c:v>
                </c:pt>
                <c:pt idx="1">
                  <c:v>Kalenderjahr 2
(z.B. 2021)</c:v>
                </c:pt>
                <c:pt idx="2">
                  <c:v>Kalenderjahr 3
(z.B. 2022)</c:v>
                </c:pt>
              </c:strCache>
            </c:strRef>
          </c:cat>
          <c:val>
            <c:numRef>
              <c:f>TRIFR!$B$23:$D$23</c:f>
              <c:numCache>
                <c:formatCode>0.00</c:formatCode>
                <c:ptCount val="3"/>
                <c:pt idx="0">
                  <c:v>11.428571428571429</c:v>
                </c:pt>
                <c:pt idx="1">
                  <c:v>9.9762470308788593</c:v>
                </c:pt>
                <c:pt idx="2">
                  <c:v>8.0933111164008569</c:v>
                </c:pt>
              </c:numCache>
            </c:numRef>
          </c:val>
          <c:smooth val="0"/>
          <c:extLst>
            <c:ext xmlns:c16="http://schemas.microsoft.com/office/drawing/2014/chart" uri="{C3380CC4-5D6E-409C-BE32-E72D297353CC}">
              <c16:uniqueId val="{00000005-3461-4EB1-A5C4-151B9B2F322F}"/>
            </c:ext>
          </c:extLst>
        </c:ser>
        <c:dLbls>
          <c:showLegendKey val="0"/>
          <c:showVal val="0"/>
          <c:showCatName val="0"/>
          <c:showSerName val="0"/>
          <c:showPercent val="0"/>
          <c:showBubbleSize val="0"/>
        </c:dLbls>
        <c:marker val="1"/>
        <c:smooth val="0"/>
        <c:axId val="645202152"/>
        <c:axId val="645203232"/>
      </c:lineChart>
      <c:catAx>
        <c:axId val="70708734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07085544"/>
        <c:crosses val="autoZero"/>
        <c:auto val="1"/>
        <c:lblAlgn val="ctr"/>
        <c:lblOffset val="100"/>
        <c:noMultiLvlLbl val="0"/>
      </c:catAx>
      <c:valAx>
        <c:axId val="707085544"/>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crossAx val="707087344"/>
        <c:crosses val="autoZero"/>
        <c:crossBetween val="between"/>
      </c:valAx>
      <c:valAx>
        <c:axId val="645203232"/>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de-DE"/>
          </a:p>
        </c:txPr>
        <c:crossAx val="645202152"/>
        <c:crosses val="max"/>
        <c:crossBetween val="between"/>
      </c:valAx>
      <c:catAx>
        <c:axId val="645202152"/>
        <c:scaling>
          <c:orientation val="minMax"/>
        </c:scaling>
        <c:delete val="1"/>
        <c:axPos val="b"/>
        <c:numFmt formatCode="General" sourceLinked="1"/>
        <c:majorTickMark val="none"/>
        <c:minorTickMark val="none"/>
        <c:tickLblPos val="nextTo"/>
        <c:crossAx val="64520323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r>
              <a:rPr lang="en-US" sz="1000">
                <a:solidFill>
                  <a:sysClr val="windowText" lastClr="000000"/>
                </a:solidFill>
              </a:rPr>
              <a:t>SG </a:t>
            </a:r>
            <a:r>
              <a:rPr lang="en-US" sz="1000" baseline="-25000">
                <a:solidFill>
                  <a:sysClr val="windowText" lastClr="000000"/>
                </a:solidFill>
              </a:rPr>
              <a:t>pro AU-Kategorie </a:t>
            </a:r>
            <a:r>
              <a:rPr lang="en-US" sz="1000" baseline="0">
                <a:solidFill>
                  <a:sysClr val="windowText" lastClr="000000"/>
                </a:solidFill>
              </a:rPr>
              <a:t>im Unternehmen im Kalenderjahr xxxx</a:t>
            </a:r>
            <a:endParaRPr lang="en-US" sz="1000" baseline="-25000">
              <a:solidFill>
                <a:sysClr val="windowText" lastClr="000000"/>
              </a:solidFill>
            </a:endParaRPr>
          </a:p>
        </c:rich>
      </c:tx>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2"/>
          <c:order val="0"/>
          <c:tx>
            <c:strRef>
              <c:f>SGproUnfallkat!$D$15</c:f>
              <c:strCache>
                <c:ptCount val="1"/>
                <c:pt idx="0">
                  <c:v>SG pro AU-Kategorie</c:v>
                </c:pt>
              </c:strCache>
            </c:strRef>
          </c:tx>
          <c:spPr>
            <a:solidFill>
              <a:schemeClr val="accent3"/>
            </a:solidFill>
            <a:ln>
              <a:noFill/>
            </a:ln>
            <a:effectLst/>
          </c:spPr>
          <c:invertIfNegative val="0"/>
          <c:cat>
            <c:strRef>
              <c:f>SGproUnfallkat!$A$16:$A$25</c:f>
              <c:strCache>
                <c:ptCount val="10"/>
                <c:pt idx="0">
                  <c:v>AT Kat 1</c:v>
                </c:pt>
                <c:pt idx="1">
                  <c:v>AT Kat 2</c:v>
                </c:pt>
                <c:pt idx="2">
                  <c:v>AT Kat 3</c:v>
                </c:pt>
                <c:pt idx="3">
                  <c:v>AT Kat 4</c:v>
                </c:pt>
                <c:pt idx="4">
                  <c:v>AT Kat 5</c:v>
                </c:pt>
                <c:pt idx="5">
                  <c:v>AT Kat 6</c:v>
                </c:pt>
                <c:pt idx="6">
                  <c:v>AT Kat 7</c:v>
                </c:pt>
                <c:pt idx="7">
                  <c:v>AT Kat 8</c:v>
                </c:pt>
                <c:pt idx="8">
                  <c:v>AT Kat 9</c:v>
                </c:pt>
                <c:pt idx="9">
                  <c:v>AT Kat 10</c:v>
                </c:pt>
              </c:strCache>
            </c:strRef>
          </c:cat>
          <c:val>
            <c:numRef>
              <c:f>SGproUnfallkat!$D$16:$D$25</c:f>
              <c:numCache>
                <c:formatCode>#,##0</c:formatCode>
                <c:ptCount val="10"/>
                <c:pt idx="0">
                  <c:v>25</c:v>
                </c:pt>
                <c:pt idx="1">
                  <c:v>200</c:v>
                </c:pt>
                <c:pt idx="2">
                  <c:v>175</c:v>
                </c:pt>
                <c:pt idx="3">
                  <c:v>150</c:v>
                </c:pt>
                <c:pt idx="4">
                  <c:v>25</c:v>
                </c:pt>
                <c:pt idx="5">
                  <c:v>100</c:v>
                </c:pt>
                <c:pt idx="6">
                  <c:v>125</c:v>
                </c:pt>
                <c:pt idx="7">
                  <c:v>25</c:v>
                </c:pt>
                <c:pt idx="8">
                  <c:v>75</c:v>
                </c:pt>
                <c:pt idx="9">
                  <c:v>25</c:v>
                </c:pt>
              </c:numCache>
            </c:numRef>
          </c:val>
          <c:extLst>
            <c:ext xmlns:c16="http://schemas.microsoft.com/office/drawing/2014/chart" uri="{C3380CC4-5D6E-409C-BE32-E72D297353CC}">
              <c16:uniqueId val="{00000002-B5A0-4C0A-BF67-000BC181DE0F}"/>
            </c:ext>
          </c:extLst>
        </c:ser>
        <c:dLbls>
          <c:showLegendKey val="0"/>
          <c:showVal val="0"/>
          <c:showCatName val="0"/>
          <c:showSerName val="0"/>
          <c:showPercent val="0"/>
          <c:showBubbleSize val="0"/>
        </c:dLbls>
        <c:gapWidth val="219"/>
        <c:overlap val="-27"/>
        <c:axId val="707084464"/>
        <c:axId val="707081944"/>
      </c:barChart>
      <c:catAx>
        <c:axId val="70708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707081944"/>
        <c:crosses val="autoZero"/>
        <c:auto val="1"/>
        <c:lblAlgn val="ctr"/>
        <c:lblOffset val="100"/>
        <c:noMultiLvlLbl val="0"/>
      </c:catAx>
      <c:valAx>
        <c:axId val="7070819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707084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r>
              <a:rPr lang="en-US" sz="1000">
                <a:solidFill>
                  <a:sysClr val="windowText" lastClr="000000"/>
                </a:solidFill>
              </a:rPr>
              <a:t>SG </a:t>
            </a:r>
            <a:r>
              <a:rPr lang="en-US" sz="1000" baseline="-25000">
                <a:solidFill>
                  <a:sysClr val="windowText" lastClr="000000"/>
                </a:solidFill>
              </a:rPr>
              <a:t>pro AU-Kategorie Baustelle </a:t>
            </a:r>
            <a:r>
              <a:rPr lang="en-US" sz="1000" baseline="0">
                <a:solidFill>
                  <a:sysClr val="windowText" lastClr="000000"/>
                </a:solidFill>
              </a:rPr>
              <a:t>im Unternehmen im Kalenderjahr xxxx</a:t>
            </a:r>
          </a:p>
        </c:rich>
      </c:tx>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endParaRPr lang="de-DE"/>
        </a:p>
      </c:txPr>
    </c:title>
    <c:autoTitleDeleted val="0"/>
    <c:plotArea>
      <c:layout/>
      <c:barChart>
        <c:barDir val="col"/>
        <c:grouping val="clustered"/>
        <c:varyColors val="0"/>
        <c:ser>
          <c:idx val="1"/>
          <c:order val="0"/>
          <c:tx>
            <c:strRef>
              <c:f>SGproUnfallkat!$I$15</c:f>
              <c:strCache>
                <c:ptCount val="1"/>
                <c:pt idx="0">
                  <c:v>SGpro AU-Kat.Baustelle</c:v>
                </c:pt>
              </c:strCache>
            </c:strRef>
          </c:tx>
          <c:spPr>
            <a:solidFill>
              <a:schemeClr val="accent2">
                <a:shade val="76000"/>
              </a:schemeClr>
            </a:solidFill>
            <a:ln>
              <a:noFill/>
            </a:ln>
            <a:effectLst/>
          </c:spPr>
          <c:invertIfNegative val="0"/>
          <c:cat>
            <c:strRef>
              <c:f>SGproUnfallkat!$F$16:$F$23</c:f>
              <c:strCache>
                <c:ptCount val="8"/>
                <c:pt idx="0">
                  <c:v>AT Baustelle 
Kat 1</c:v>
                </c:pt>
                <c:pt idx="1">
                  <c:v>AT Baustelle 
Kat 2</c:v>
                </c:pt>
                <c:pt idx="2">
                  <c:v>AT Baustelle 
Kat 3</c:v>
                </c:pt>
                <c:pt idx="3">
                  <c:v>AT Baustelle 
Kat 4</c:v>
                </c:pt>
                <c:pt idx="4">
                  <c:v>AT Baustelle 
Kat 5</c:v>
                </c:pt>
                <c:pt idx="5">
                  <c:v>AT Baustelle 
Kat 6</c:v>
                </c:pt>
                <c:pt idx="6">
                  <c:v>AT Baustelle 
Kat 7</c:v>
                </c:pt>
                <c:pt idx="7">
                  <c:v>AT Baustelle 
Kat 8</c:v>
                </c:pt>
              </c:strCache>
            </c:strRef>
          </c:cat>
          <c:val>
            <c:numRef>
              <c:f>SGproUnfallkat!$I$16:$I$23</c:f>
              <c:numCache>
                <c:formatCode>#,##0</c:formatCode>
                <c:ptCount val="8"/>
                <c:pt idx="0">
                  <c:v>100</c:v>
                </c:pt>
                <c:pt idx="1">
                  <c:v>200</c:v>
                </c:pt>
                <c:pt idx="2">
                  <c:v>250</c:v>
                </c:pt>
                <c:pt idx="3">
                  <c:v>150</c:v>
                </c:pt>
                <c:pt idx="4">
                  <c:v>100</c:v>
                </c:pt>
                <c:pt idx="5">
                  <c:v>150</c:v>
                </c:pt>
                <c:pt idx="6">
                  <c:v>25</c:v>
                </c:pt>
                <c:pt idx="7">
                  <c:v>25</c:v>
                </c:pt>
              </c:numCache>
            </c:numRef>
          </c:val>
          <c:extLst>
            <c:ext xmlns:c16="http://schemas.microsoft.com/office/drawing/2014/chart" uri="{C3380CC4-5D6E-409C-BE32-E72D297353CC}">
              <c16:uniqueId val="{00000002-EC15-4035-B041-C211BA0B9B44}"/>
            </c:ext>
          </c:extLst>
        </c:ser>
        <c:dLbls>
          <c:showLegendKey val="0"/>
          <c:showVal val="0"/>
          <c:showCatName val="0"/>
          <c:showSerName val="0"/>
          <c:showPercent val="0"/>
          <c:showBubbleSize val="0"/>
        </c:dLbls>
        <c:gapWidth val="219"/>
        <c:overlap val="-27"/>
        <c:axId val="707084464"/>
        <c:axId val="707081944"/>
      </c:barChart>
      <c:catAx>
        <c:axId val="70708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707081944"/>
        <c:crosses val="autoZero"/>
        <c:auto val="1"/>
        <c:lblAlgn val="ctr"/>
        <c:lblOffset val="100"/>
        <c:noMultiLvlLbl val="0"/>
      </c:catAx>
      <c:valAx>
        <c:axId val="7070819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707084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r>
              <a:rPr lang="de-DE" sz="1100" b="1">
                <a:solidFill>
                  <a:schemeClr val="tx1"/>
                </a:solidFill>
              </a:rPr>
              <a:t>Auswertung</a:t>
            </a:r>
            <a:r>
              <a:rPr lang="de-DE" sz="1100" b="1" baseline="0">
                <a:solidFill>
                  <a:schemeClr val="tx1"/>
                </a:solidFill>
              </a:rPr>
              <a:t> Arbeitsunfälle und Beinahe-Unfälle auf den Baustellen nach Unfallkategorien</a:t>
            </a:r>
            <a:endParaRPr lang="de-DE" sz="1100" b="1">
              <a:solidFill>
                <a:schemeClr val="tx1"/>
              </a:solidFill>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endParaRPr lang="de-DE"/>
        </a:p>
      </c:txPr>
    </c:title>
    <c:autoTitleDeleted val="0"/>
    <c:plotArea>
      <c:layout/>
      <c:barChart>
        <c:barDir val="col"/>
        <c:grouping val="stacked"/>
        <c:varyColors val="0"/>
        <c:ser>
          <c:idx val="0"/>
          <c:order val="0"/>
          <c:tx>
            <c:strRef>
              <c:f>'Auswertung nach Unfallkategorie'!$B$5:$B$6</c:f>
              <c:strCache>
                <c:ptCount val="2"/>
                <c:pt idx="0">
                  <c:v>Spezifikation AT Kategorien Baustelle</c:v>
                </c:pt>
              </c:strCache>
            </c:strRef>
          </c:tx>
          <c:spPr>
            <a:solidFill>
              <a:schemeClr val="accent1"/>
            </a:solidFill>
            <a:ln>
              <a:noFill/>
            </a:ln>
            <a:effectLst/>
          </c:spPr>
          <c:invertIfNegative val="0"/>
          <c:cat>
            <c:strRef>
              <c:extLst>
                <c:ext xmlns:c15="http://schemas.microsoft.com/office/drawing/2012/chart" uri="{02D57815-91ED-43cb-92C2-25804820EDAC}">
                  <c15:fullRef>
                    <c15:sqref>'Auswertung nach Unfallkategorie'!$A$7:$A$16</c15:sqref>
                  </c15:fullRef>
                </c:ext>
              </c:extLst>
              <c:f>'Auswertung nach Unfallkategorie'!$A$7:$A$14</c:f>
              <c:strCache>
                <c:ptCount val="8"/>
                <c:pt idx="0">
                  <c:v>AT Baustelle Kat 1</c:v>
                </c:pt>
                <c:pt idx="1">
                  <c:v>AT Baustelle Kat 2</c:v>
                </c:pt>
                <c:pt idx="2">
                  <c:v>AT Baustelle Kat 3</c:v>
                </c:pt>
                <c:pt idx="3">
                  <c:v>AT Baustelle Kat 4</c:v>
                </c:pt>
                <c:pt idx="4">
                  <c:v>AT Baustelle Kat 5</c:v>
                </c:pt>
                <c:pt idx="5">
                  <c:v>AT Baustelle Kat 6</c:v>
                </c:pt>
                <c:pt idx="6">
                  <c:v>AT Baustelle Kat 7</c:v>
                </c:pt>
                <c:pt idx="7">
                  <c:v>AT Baustelle Kat 8</c:v>
                </c:pt>
              </c:strCache>
            </c:strRef>
          </c:cat>
          <c:val>
            <c:numRef>
              <c:extLst>
                <c:ext xmlns:c15="http://schemas.microsoft.com/office/drawing/2012/chart" uri="{02D57815-91ED-43cb-92C2-25804820EDAC}">
                  <c15:fullRef>
                    <c15:sqref>'Auswertung nach Unfallkategorie'!$B$7:$B$16</c15:sqref>
                  </c15:fullRef>
                </c:ext>
              </c:extLst>
              <c:f>'Auswertung nach Unfallkategorie'!$B$7:$B$14</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9193-4D66-9153-D85E540C7C8E}"/>
            </c:ext>
          </c:extLst>
        </c:ser>
        <c:ser>
          <c:idx val="1"/>
          <c:order val="1"/>
          <c:tx>
            <c:strRef>
              <c:f>'Auswertung nach Unfallkategorie'!$C$5:$C$6</c:f>
              <c:strCache>
                <c:ptCount val="2"/>
                <c:pt idx="0">
                  <c:v>Tödliche Arbeitsunfälle</c:v>
                </c:pt>
                <c:pt idx="1">
                  <c:v>Anzahl</c:v>
                </c:pt>
              </c:strCache>
            </c:strRef>
          </c:tx>
          <c:spPr>
            <a:solidFill>
              <a:schemeClr val="accent2"/>
            </a:solidFill>
            <a:ln>
              <a:noFill/>
            </a:ln>
            <a:effectLst/>
          </c:spPr>
          <c:invertIfNegative val="0"/>
          <c:cat>
            <c:strRef>
              <c:extLst>
                <c:ext xmlns:c15="http://schemas.microsoft.com/office/drawing/2012/chart" uri="{02D57815-91ED-43cb-92C2-25804820EDAC}">
                  <c15:fullRef>
                    <c15:sqref>'Auswertung nach Unfallkategorie'!$A$7:$A$16</c15:sqref>
                  </c15:fullRef>
                </c:ext>
              </c:extLst>
              <c:f>'Auswertung nach Unfallkategorie'!$A$7:$A$14</c:f>
              <c:strCache>
                <c:ptCount val="8"/>
                <c:pt idx="0">
                  <c:v>AT Baustelle Kat 1</c:v>
                </c:pt>
                <c:pt idx="1">
                  <c:v>AT Baustelle Kat 2</c:v>
                </c:pt>
                <c:pt idx="2">
                  <c:v>AT Baustelle Kat 3</c:v>
                </c:pt>
                <c:pt idx="3">
                  <c:v>AT Baustelle Kat 4</c:v>
                </c:pt>
                <c:pt idx="4">
                  <c:v>AT Baustelle Kat 5</c:v>
                </c:pt>
                <c:pt idx="5">
                  <c:v>AT Baustelle Kat 6</c:v>
                </c:pt>
                <c:pt idx="6">
                  <c:v>AT Baustelle Kat 7</c:v>
                </c:pt>
                <c:pt idx="7">
                  <c:v>AT Baustelle Kat 8</c:v>
                </c:pt>
              </c:strCache>
            </c:strRef>
          </c:cat>
          <c:val>
            <c:numRef>
              <c:extLst>
                <c:ext xmlns:c15="http://schemas.microsoft.com/office/drawing/2012/chart" uri="{02D57815-91ED-43cb-92C2-25804820EDAC}">
                  <c15:fullRef>
                    <c15:sqref>'Auswertung nach Unfallkategorie'!$C$7:$C$16</c15:sqref>
                  </c15:fullRef>
                </c:ext>
              </c:extLst>
              <c:f>'Auswertung nach Unfallkategorie'!$C$7:$C$14</c:f>
              <c:numCache>
                <c:formatCode>General</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1-9193-4D66-9153-D85E540C7C8E}"/>
            </c:ext>
          </c:extLst>
        </c:ser>
        <c:ser>
          <c:idx val="2"/>
          <c:order val="2"/>
          <c:tx>
            <c:strRef>
              <c:f>'Auswertung nach Unfallkategorie'!$D$5:$D$6</c:f>
              <c:strCache>
                <c:ptCount val="2"/>
                <c:pt idx="0">
                  <c:v>Arbeitsunfälle mit Ausfalltagen </c:v>
                </c:pt>
                <c:pt idx="1">
                  <c:v>Anzahl</c:v>
                </c:pt>
              </c:strCache>
            </c:strRef>
          </c:tx>
          <c:spPr>
            <a:solidFill>
              <a:schemeClr val="accent3"/>
            </a:solidFill>
            <a:ln>
              <a:noFill/>
            </a:ln>
            <a:effectLst/>
          </c:spPr>
          <c:invertIfNegative val="0"/>
          <c:cat>
            <c:strRef>
              <c:extLst>
                <c:ext xmlns:c15="http://schemas.microsoft.com/office/drawing/2012/chart" uri="{02D57815-91ED-43cb-92C2-25804820EDAC}">
                  <c15:fullRef>
                    <c15:sqref>'Auswertung nach Unfallkategorie'!$A$7:$A$16</c15:sqref>
                  </c15:fullRef>
                </c:ext>
              </c:extLst>
              <c:f>'Auswertung nach Unfallkategorie'!$A$7:$A$14</c:f>
              <c:strCache>
                <c:ptCount val="8"/>
                <c:pt idx="0">
                  <c:v>AT Baustelle Kat 1</c:v>
                </c:pt>
                <c:pt idx="1">
                  <c:v>AT Baustelle Kat 2</c:v>
                </c:pt>
                <c:pt idx="2">
                  <c:v>AT Baustelle Kat 3</c:v>
                </c:pt>
                <c:pt idx="3">
                  <c:v>AT Baustelle Kat 4</c:v>
                </c:pt>
                <c:pt idx="4">
                  <c:v>AT Baustelle Kat 5</c:v>
                </c:pt>
                <c:pt idx="5">
                  <c:v>AT Baustelle Kat 6</c:v>
                </c:pt>
                <c:pt idx="6">
                  <c:v>AT Baustelle Kat 7</c:v>
                </c:pt>
                <c:pt idx="7">
                  <c:v>AT Baustelle Kat 8</c:v>
                </c:pt>
              </c:strCache>
            </c:strRef>
          </c:cat>
          <c:val>
            <c:numRef>
              <c:extLst>
                <c:ext xmlns:c15="http://schemas.microsoft.com/office/drawing/2012/chart" uri="{02D57815-91ED-43cb-92C2-25804820EDAC}">
                  <c15:fullRef>
                    <c15:sqref>'Auswertung nach Unfallkategorie'!$D$7:$D$16</c15:sqref>
                  </c15:fullRef>
                </c:ext>
              </c:extLst>
              <c:f>'Auswertung nach Unfallkategorie'!$D$7:$D$14</c:f>
              <c:numCache>
                <c:formatCode>General</c:formatCode>
                <c:ptCount val="8"/>
                <c:pt idx="0">
                  <c:v>10</c:v>
                </c:pt>
                <c:pt idx="1">
                  <c:v>10</c:v>
                </c:pt>
                <c:pt idx="2">
                  <c:v>10</c:v>
                </c:pt>
                <c:pt idx="3">
                  <c:v>10</c:v>
                </c:pt>
                <c:pt idx="4">
                  <c:v>10</c:v>
                </c:pt>
                <c:pt idx="5">
                  <c:v>10</c:v>
                </c:pt>
                <c:pt idx="6">
                  <c:v>10</c:v>
                </c:pt>
                <c:pt idx="7">
                  <c:v>10</c:v>
                </c:pt>
              </c:numCache>
            </c:numRef>
          </c:val>
          <c:extLst>
            <c:ext xmlns:c16="http://schemas.microsoft.com/office/drawing/2014/chart" uri="{C3380CC4-5D6E-409C-BE32-E72D297353CC}">
              <c16:uniqueId val="{00000002-9193-4D66-9153-D85E540C7C8E}"/>
            </c:ext>
          </c:extLst>
        </c:ser>
        <c:ser>
          <c:idx val="3"/>
          <c:order val="3"/>
          <c:tx>
            <c:strRef>
              <c:f>'Auswertung nach Unfallkategorie'!$E$5:$E$6</c:f>
              <c:strCache>
                <c:ptCount val="2"/>
                <c:pt idx="0">
                  <c:v>Arbeitsunfälle mit Verletzun-gen, aber ohne Ausfalltage</c:v>
                </c:pt>
                <c:pt idx="1">
                  <c:v>Anzahl</c:v>
                </c:pt>
              </c:strCache>
            </c:strRef>
          </c:tx>
          <c:spPr>
            <a:solidFill>
              <a:schemeClr val="accent4"/>
            </a:solidFill>
            <a:ln>
              <a:noFill/>
            </a:ln>
            <a:effectLst/>
          </c:spPr>
          <c:invertIfNegative val="0"/>
          <c:cat>
            <c:strRef>
              <c:extLst>
                <c:ext xmlns:c15="http://schemas.microsoft.com/office/drawing/2012/chart" uri="{02D57815-91ED-43cb-92C2-25804820EDAC}">
                  <c15:fullRef>
                    <c15:sqref>'Auswertung nach Unfallkategorie'!$A$7:$A$16</c15:sqref>
                  </c15:fullRef>
                </c:ext>
              </c:extLst>
              <c:f>'Auswertung nach Unfallkategorie'!$A$7:$A$14</c:f>
              <c:strCache>
                <c:ptCount val="8"/>
                <c:pt idx="0">
                  <c:v>AT Baustelle Kat 1</c:v>
                </c:pt>
                <c:pt idx="1">
                  <c:v>AT Baustelle Kat 2</c:v>
                </c:pt>
                <c:pt idx="2">
                  <c:v>AT Baustelle Kat 3</c:v>
                </c:pt>
                <c:pt idx="3">
                  <c:v>AT Baustelle Kat 4</c:v>
                </c:pt>
                <c:pt idx="4">
                  <c:v>AT Baustelle Kat 5</c:v>
                </c:pt>
                <c:pt idx="5">
                  <c:v>AT Baustelle Kat 6</c:v>
                </c:pt>
                <c:pt idx="6">
                  <c:v>AT Baustelle Kat 7</c:v>
                </c:pt>
                <c:pt idx="7">
                  <c:v>AT Baustelle Kat 8</c:v>
                </c:pt>
              </c:strCache>
            </c:strRef>
          </c:cat>
          <c:val>
            <c:numRef>
              <c:extLst>
                <c:ext xmlns:c15="http://schemas.microsoft.com/office/drawing/2012/chart" uri="{02D57815-91ED-43cb-92C2-25804820EDAC}">
                  <c15:fullRef>
                    <c15:sqref>'Auswertung nach Unfallkategorie'!$E$7:$E$16</c15:sqref>
                  </c15:fullRef>
                </c:ext>
              </c:extLst>
              <c:f>'Auswertung nach Unfallkategorie'!$E$7:$E$14</c:f>
              <c:numCache>
                <c:formatCode>General</c:formatCode>
                <c:ptCount val="8"/>
                <c:pt idx="0">
                  <c:v>30</c:v>
                </c:pt>
                <c:pt idx="1">
                  <c:v>30</c:v>
                </c:pt>
                <c:pt idx="2">
                  <c:v>30</c:v>
                </c:pt>
                <c:pt idx="3">
                  <c:v>30</c:v>
                </c:pt>
                <c:pt idx="4">
                  <c:v>30</c:v>
                </c:pt>
                <c:pt idx="5">
                  <c:v>30</c:v>
                </c:pt>
                <c:pt idx="6">
                  <c:v>30</c:v>
                </c:pt>
                <c:pt idx="7">
                  <c:v>30</c:v>
                </c:pt>
              </c:numCache>
            </c:numRef>
          </c:val>
          <c:extLst>
            <c:ext xmlns:c16="http://schemas.microsoft.com/office/drawing/2014/chart" uri="{C3380CC4-5D6E-409C-BE32-E72D297353CC}">
              <c16:uniqueId val="{00000003-9193-4D66-9153-D85E540C7C8E}"/>
            </c:ext>
          </c:extLst>
        </c:ser>
        <c:ser>
          <c:idx val="4"/>
          <c:order val="4"/>
          <c:tx>
            <c:strRef>
              <c:f>'Auswertung nach Unfallkategorie'!$F$5:$F$6</c:f>
              <c:strCache>
                <c:ptCount val="2"/>
                <c:pt idx="0">
                  <c:v>Beinahe-Unfälle</c:v>
                </c:pt>
                <c:pt idx="1">
                  <c:v>Anzahl </c:v>
                </c:pt>
              </c:strCache>
            </c:strRef>
          </c:tx>
          <c:spPr>
            <a:solidFill>
              <a:schemeClr val="accent5"/>
            </a:solidFill>
            <a:ln>
              <a:noFill/>
            </a:ln>
            <a:effectLst/>
          </c:spPr>
          <c:invertIfNegative val="0"/>
          <c:cat>
            <c:strRef>
              <c:extLst>
                <c:ext xmlns:c15="http://schemas.microsoft.com/office/drawing/2012/chart" uri="{02D57815-91ED-43cb-92C2-25804820EDAC}">
                  <c15:fullRef>
                    <c15:sqref>'Auswertung nach Unfallkategorie'!$A$7:$A$16</c15:sqref>
                  </c15:fullRef>
                </c:ext>
              </c:extLst>
              <c:f>'Auswertung nach Unfallkategorie'!$A$7:$A$14</c:f>
              <c:strCache>
                <c:ptCount val="8"/>
                <c:pt idx="0">
                  <c:v>AT Baustelle Kat 1</c:v>
                </c:pt>
                <c:pt idx="1">
                  <c:v>AT Baustelle Kat 2</c:v>
                </c:pt>
                <c:pt idx="2">
                  <c:v>AT Baustelle Kat 3</c:v>
                </c:pt>
                <c:pt idx="3">
                  <c:v>AT Baustelle Kat 4</c:v>
                </c:pt>
                <c:pt idx="4">
                  <c:v>AT Baustelle Kat 5</c:v>
                </c:pt>
                <c:pt idx="5">
                  <c:v>AT Baustelle Kat 6</c:v>
                </c:pt>
                <c:pt idx="6">
                  <c:v>AT Baustelle Kat 7</c:v>
                </c:pt>
                <c:pt idx="7">
                  <c:v>AT Baustelle Kat 8</c:v>
                </c:pt>
              </c:strCache>
            </c:strRef>
          </c:cat>
          <c:val>
            <c:numRef>
              <c:extLst>
                <c:ext xmlns:c15="http://schemas.microsoft.com/office/drawing/2012/chart" uri="{02D57815-91ED-43cb-92C2-25804820EDAC}">
                  <c15:fullRef>
                    <c15:sqref>'Auswertung nach Unfallkategorie'!$F$7:$F$16</c15:sqref>
                  </c15:fullRef>
                </c:ext>
              </c:extLst>
              <c:f>'Auswertung nach Unfallkategorie'!$F$7:$F$14</c:f>
              <c:numCache>
                <c:formatCode>General</c:formatCode>
                <c:ptCount val="8"/>
                <c:pt idx="0">
                  <c:v>600</c:v>
                </c:pt>
                <c:pt idx="1">
                  <c:v>600</c:v>
                </c:pt>
                <c:pt idx="2">
                  <c:v>600</c:v>
                </c:pt>
                <c:pt idx="3">
                  <c:v>600</c:v>
                </c:pt>
                <c:pt idx="4">
                  <c:v>600</c:v>
                </c:pt>
                <c:pt idx="5">
                  <c:v>600</c:v>
                </c:pt>
                <c:pt idx="6">
                  <c:v>600</c:v>
                </c:pt>
                <c:pt idx="7">
                  <c:v>600</c:v>
                </c:pt>
              </c:numCache>
            </c:numRef>
          </c:val>
          <c:extLst>
            <c:ext xmlns:c16="http://schemas.microsoft.com/office/drawing/2014/chart" uri="{C3380CC4-5D6E-409C-BE32-E72D297353CC}">
              <c16:uniqueId val="{00000000-7E8F-4906-856A-6F24E9B26C3D}"/>
            </c:ext>
          </c:extLst>
        </c:ser>
        <c:dLbls>
          <c:showLegendKey val="0"/>
          <c:showVal val="0"/>
          <c:showCatName val="0"/>
          <c:showSerName val="0"/>
          <c:showPercent val="0"/>
          <c:showBubbleSize val="0"/>
        </c:dLbls>
        <c:gapWidth val="150"/>
        <c:overlap val="100"/>
        <c:axId val="645836832"/>
        <c:axId val="645842232"/>
      </c:barChart>
      <c:catAx>
        <c:axId val="64583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crossAx val="645842232"/>
        <c:crosses val="autoZero"/>
        <c:auto val="1"/>
        <c:lblAlgn val="ctr"/>
        <c:lblOffset val="100"/>
        <c:noMultiLvlLbl val="0"/>
      </c:catAx>
      <c:valAx>
        <c:axId val="645842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crossAx val="645836832"/>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r>
              <a:rPr lang="de-DE" sz="1100" b="1">
                <a:solidFill>
                  <a:schemeClr val="tx1"/>
                </a:solidFill>
              </a:rPr>
              <a:t>Auswertung</a:t>
            </a:r>
            <a:r>
              <a:rPr lang="de-DE" sz="1100" b="1" baseline="0">
                <a:solidFill>
                  <a:schemeClr val="tx1"/>
                </a:solidFill>
              </a:rPr>
              <a:t> Arbeitsunfälle und Beinahe-Unfälle im Gesamtunternehmen nach Unfallkategorien</a:t>
            </a:r>
            <a:endParaRPr lang="de-DE" sz="1100" b="1">
              <a:solidFill>
                <a:schemeClr val="tx1"/>
              </a:solidFill>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endParaRPr lang="de-DE"/>
        </a:p>
      </c:txPr>
    </c:title>
    <c:autoTitleDeleted val="0"/>
    <c:plotArea>
      <c:layout/>
      <c:barChart>
        <c:barDir val="col"/>
        <c:grouping val="stacked"/>
        <c:varyColors val="0"/>
        <c:ser>
          <c:idx val="0"/>
          <c:order val="0"/>
          <c:tx>
            <c:strRef>
              <c:f>'Auswertung nach Unfallkategorie'!$I$5:$I$6</c:f>
              <c:strCache>
                <c:ptCount val="2"/>
                <c:pt idx="0">
                  <c:v>Spezifikation AT Kategorien Gesamtunternehmen</c:v>
                </c:pt>
              </c:strCache>
            </c:strRef>
          </c:tx>
          <c:spPr>
            <a:solidFill>
              <a:schemeClr val="accent1"/>
            </a:solidFill>
            <a:ln>
              <a:noFill/>
            </a:ln>
            <a:effectLst/>
          </c:spPr>
          <c:invertIfNegative val="0"/>
          <c:cat>
            <c:strRef>
              <c:f>'Auswertung nach Unfallkategorie'!$H$7:$H$16</c:f>
              <c:strCache>
                <c:ptCount val="10"/>
                <c:pt idx="0">
                  <c:v>AT Kat 1</c:v>
                </c:pt>
                <c:pt idx="1">
                  <c:v>AT Kat 2</c:v>
                </c:pt>
                <c:pt idx="2">
                  <c:v>AT Kat 3</c:v>
                </c:pt>
                <c:pt idx="3">
                  <c:v>AT Kat 4</c:v>
                </c:pt>
                <c:pt idx="4">
                  <c:v>AT Kat 5</c:v>
                </c:pt>
                <c:pt idx="5">
                  <c:v>AT Kat 6</c:v>
                </c:pt>
                <c:pt idx="6">
                  <c:v>AT Kat 7</c:v>
                </c:pt>
                <c:pt idx="7">
                  <c:v>AT Kat 8</c:v>
                </c:pt>
                <c:pt idx="8">
                  <c:v>AT Kat 9</c:v>
                </c:pt>
                <c:pt idx="9">
                  <c:v>AT Kat 10</c:v>
                </c:pt>
              </c:strCache>
            </c:strRef>
          </c:cat>
          <c:val>
            <c:numRef>
              <c:f>'Auswertung nach Unfallkategorie'!$I$7:$I$16</c:f>
              <c:numCache>
                <c:formatCode>#,##0</c:formatCode>
                <c:ptCount val="10"/>
                <c:pt idx="0">
                  <c:v>0</c:v>
                </c:pt>
                <c:pt idx="1">
                  <c:v>0</c:v>
                </c:pt>
                <c:pt idx="2">
                  <c:v>0</c:v>
                </c:pt>
                <c:pt idx="3">
                  <c:v>0</c:v>
                </c:pt>
                <c:pt idx="4">
                  <c:v>0</c:v>
                </c:pt>
                <c:pt idx="5" formatCode="General">
                  <c:v>0</c:v>
                </c:pt>
                <c:pt idx="6" formatCode="General">
                  <c:v>0</c:v>
                </c:pt>
                <c:pt idx="7" formatCode="General">
                  <c:v>0</c:v>
                </c:pt>
                <c:pt idx="8" formatCode="General">
                  <c:v>0</c:v>
                </c:pt>
                <c:pt idx="9" formatCode="General">
                  <c:v>0</c:v>
                </c:pt>
              </c:numCache>
            </c:numRef>
          </c:val>
          <c:extLst>
            <c:ext xmlns:c16="http://schemas.microsoft.com/office/drawing/2014/chart" uri="{C3380CC4-5D6E-409C-BE32-E72D297353CC}">
              <c16:uniqueId val="{00000000-A1B9-469D-9314-AE303612AD51}"/>
            </c:ext>
          </c:extLst>
        </c:ser>
        <c:ser>
          <c:idx val="1"/>
          <c:order val="1"/>
          <c:tx>
            <c:strRef>
              <c:f>'Auswertung nach Unfallkategorie'!$J$5:$J$6</c:f>
              <c:strCache>
                <c:ptCount val="2"/>
                <c:pt idx="0">
                  <c:v>Tödliche Arbeitsunfälle</c:v>
                </c:pt>
                <c:pt idx="1">
                  <c:v>Anzahl</c:v>
                </c:pt>
              </c:strCache>
            </c:strRef>
          </c:tx>
          <c:spPr>
            <a:solidFill>
              <a:schemeClr val="accent2"/>
            </a:solidFill>
            <a:ln>
              <a:noFill/>
            </a:ln>
            <a:effectLst/>
          </c:spPr>
          <c:invertIfNegative val="0"/>
          <c:cat>
            <c:strRef>
              <c:f>'Auswertung nach Unfallkategorie'!$H$7:$H$16</c:f>
              <c:strCache>
                <c:ptCount val="10"/>
                <c:pt idx="0">
                  <c:v>AT Kat 1</c:v>
                </c:pt>
                <c:pt idx="1">
                  <c:v>AT Kat 2</c:v>
                </c:pt>
                <c:pt idx="2">
                  <c:v>AT Kat 3</c:v>
                </c:pt>
                <c:pt idx="3">
                  <c:v>AT Kat 4</c:v>
                </c:pt>
                <c:pt idx="4">
                  <c:v>AT Kat 5</c:v>
                </c:pt>
                <c:pt idx="5">
                  <c:v>AT Kat 6</c:v>
                </c:pt>
                <c:pt idx="6">
                  <c:v>AT Kat 7</c:v>
                </c:pt>
                <c:pt idx="7">
                  <c:v>AT Kat 8</c:v>
                </c:pt>
                <c:pt idx="8">
                  <c:v>AT Kat 9</c:v>
                </c:pt>
                <c:pt idx="9">
                  <c:v>AT Kat 10</c:v>
                </c:pt>
              </c:strCache>
            </c:strRef>
          </c:cat>
          <c:val>
            <c:numRef>
              <c:f>'Auswertung nach Unfallkategorie'!$J$7:$J$16</c:f>
              <c:numCache>
                <c:formatCode>General</c:formatCode>
                <c:ptCount val="10"/>
                <c:pt idx="0">
                  <c:v>1</c:v>
                </c:pt>
                <c:pt idx="1">
                  <c:v>1</c:v>
                </c:pt>
                <c:pt idx="2">
                  <c:v>1</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01-A1B9-469D-9314-AE303612AD51}"/>
            </c:ext>
          </c:extLst>
        </c:ser>
        <c:ser>
          <c:idx val="2"/>
          <c:order val="2"/>
          <c:tx>
            <c:strRef>
              <c:f>'Auswertung nach Unfallkategorie'!$K$5:$K$6</c:f>
              <c:strCache>
                <c:ptCount val="2"/>
                <c:pt idx="0">
                  <c:v>Arbeitsunfälle mit Ausfalltagen </c:v>
                </c:pt>
                <c:pt idx="1">
                  <c:v>Anzahl</c:v>
                </c:pt>
              </c:strCache>
            </c:strRef>
          </c:tx>
          <c:spPr>
            <a:solidFill>
              <a:schemeClr val="accent3"/>
            </a:solidFill>
            <a:ln>
              <a:noFill/>
            </a:ln>
            <a:effectLst/>
          </c:spPr>
          <c:invertIfNegative val="0"/>
          <c:cat>
            <c:strRef>
              <c:f>'Auswertung nach Unfallkategorie'!$H$7:$H$16</c:f>
              <c:strCache>
                <c:ptCount val="10"/>
                <c:pt idx="0">
                  <c:v>AT Kat 1</c:v>
                </c:pt>
                <c:pt idx="1">
                  <c:v>AT Kat 2</c:v>
                </c:pt>
                <c:pt idx="2">
                  <c:v>AT Kat 3</c:v>
                </c:pt>
                <c:pt idx="3">
                  <c:v>AT Kat 4</c:v>
                </c:pt>
                <c:pt idx="4">
                  <c:v>AT Kat 5</c:v>
                </c:pt>
                <c:pt idx="5">
                  <c:v>AT Kat 6</c:v>
                </c:pt>
                <c:pt idx="6">
                  <c:v>AT Kat 7</c:v>
                </c:pt>
                <c:pt idx="7">
                  <c:v>AT Kat 8</c:v>
                </c:pt>
                <c:pt idx="8">
                  <c:v>AT Kat 9</c:v>
                </c:pt>
                <c:pt idx="9">
                  <c:v>AT Kat 10</c:v>
                </c:pt>
              </c:strCache>
            </c:strRef>
          </c:cat>
          <c:val>
            <c:numRef>
              <c:f>'Auswertung nach Unfallkategorie'!$K$7:$K$16</c:f>
              <c:numCache>
                <c:formatCode>General</c:formatCode>
                <c:ptCount val="10"/>
                <c:pt idx="0">
                  <c:v>10</c:v>
                </c:pt>
                <c:pt idx="1">
                  <c:v>10</c:v>
                </c:pt>
                <c:pt idx="2">
                  <c:v>10</c:v>
                </c:pt>
                <c:pt idx="3">
                  <c:v>10</c:v>
                </c:pt>
                <c:pt idx="4">
                  <c:v>10</c:v>
                </c:pt>
                <c:pt idx="5">
                  <c:v>10</c:v>
                </c:pt>
                <c:pt idx="6">
                  <c:v>10</c:v>
                </c:pt>
                <c:pt idx="7">
                  <c:v>10</c:v>
                </c:pt>
                <c:pt idx="8">
                  <c:v>10</c:v>
                </c:pt>
                <c:pt idx="9">
                  <c:v>10</c:v>
                </c:pt>
              </c:numCache>
            </c:numRef>
          </c:val>
          <c:extLst>
            <c:ext xmlns:c16="http://schemas.microsoft.com/office/drawing/2014/chart" uri="{C3380CC4-5D6E-409C-BE32-E72D297353CC}">
              <c16:uniqueId val="{00000002-A1B9-469D-9314-AE303612AD51}"/>
            </c:ext>
          </c:extLst>
        </c:ser>
        <c:ser>
          <c:idx val="3"/>
          <c:order val="3"/>
          <c:tx>
            <c:strRef>
              <c:f>'Auswertung nach Unfallkategorie'!$L$5:$L$6</c:f>
              <c:strCache>
                <c:ptCount val="2"/>
                <c:pt idx="0">
                  <c:v>Arbeitsunfälle mit Verletzun-gen, aber ohne Ausfalltage</c:v>
                </c:pt>
                <c:pt idx="1">
                  <c:v>Anzahl</c:v>
                </c:pt>
              </c:strCache>
            </c:strRef>
          </c:tx>
          <c:spPr>
            <a:solidFill>
              <a:schemeClr val="accent4"/>
            </a:solidFill>
            <a:ln>
              <a:noFill/>
            </a:ln>
            <a:effectLst/>
          </c:spPr>
          <c:invertIfNegative val="0"/>
          <c:cat>
            <c:strRef>
              <c:f>'Auswertung nach Unfallkategorie'!$H$7:$H$16</c:f>
              <c:strCache>
                <c:ptCount val="10"/>
                <c:pt idx="0">
                  <c:v>AT Kat 1</c:v>
                </c:pt>
                <c:pt idx="1">
                  <c:v>AT Kat 2</c:v>
                </c:pt>
                <c:pt idx="2">
                  <c:v>AT Kat 3</c:v>
                </c:pt>
                <c:pt idx="3">
                  <c:v>AT Kat 4</c:v>
                </c:pt>
                <c:pt idx="4">
                  <c:v>AT Kat 5</c:v>
                </c:pt>
                <c:pt idx="5">
                  <c:v>AT Kat 6</c:v>
                </c:pt>
                <c:pt idx="6">
                  <c:v>AT Kat 7</c:v>
                </c:pt>
                <c:pt idx="7">
                  <c:v>AT Kat 8</c:v>
                </c:pt>
                <c:pt idx="8">
                  <c:v>AT Kat 9</c:v>
                </c:pt>
                <c:pt idx="9">
                  <c:v>AT Kat 10</c:v>
                </c:pt>
              </c:strCache>
            </c:strRef>
          </c:cat>
          <c:val>
            <c:numRef>
              <c:f>'Auswertung nach Unfallkategorie'!$L$7:$L$16</c:f>
              <c:numCache>
                <c:formatCode>General</c:formatCode>
                <c:ptCount val="10"/>
                <c:pt idx="0">
                  <c:v>30</c:v>
                </c:pt>
                <c:pt idx="1">
                  <c:v>30</c:v>
                </c:pt>
                <c:pt idx="2">
                  <c:v>30</c:v>
                </c:pt>
                <c:pt idx="3">
                  <c:v>30</c:v>
                </c:pt>
                <c:pt idx="4">
                  <c:v>30</c:v>
                </c:pt>
                <c:pt idx="5">
                  <c:v>30</c:v>
                </c:pt>
                <c:pt idx="6">
                  <c:v>30</c:v>
                </c:pt>
                <c:pt idx="7">
                  <c:v>30</c:v>
                </c:pt>
                <c:pt idx="8">
                  <c:v>30</c:v>
                </c:pt>
                <c:pt idx="9">
                  <c:v>30</c:v>
                </c:pt>
              </c:numCache>
            </c:numRef>
          </c:val>
          <c:extLst>
            <c:ext xmlns:c16="http://schemas.microsoft.com/office/drawing/2014/chart" uri="{C3380CC4-5D6E-409C-BE32-E72D297353CC}">
              <c16:uniqueId val="{00000003-A1B9-469D-9314-AE303612AD51}"/>
            </c:ext>
          </c:extLst>
        </c:ser>
        <c:ser>
          <c:idx val="4"/>
          <c:order val="4"/>
          <c:tx>
            <c:strRef>
              <c:f>'Auswertung nach Unfallkategorie'!$M$5:$M$6</c:f>
              <c:strCache>
                <c:ptCount val="2"/>
                <c:pt idx="0">
                  <c:v>Beinahe-Unfälle</c:v>
                </c:pt>
                <c:pt idx="1">
                  <c:v>Anzahl </c:v>
                </c:pt>
              </c:strCache>
            </c:strRef>
          </c:tx>
          <c:spPr>
            <a:solidFill>
              <a:schemeClr val="accent5"/>
            </a:solidFill>
            <a:ln>
              <a:noFill/>
            </a:ln>
            <a:effectLst/>
          </c:spPr>
          <c:invertIfNegative val="0"/>
          <c:cat>
            <c:strRef>
              <c:f>'Auswertung nach Unfallkategorie'!$H$7:$H$16</c:f>
              <c:strCache>
                <c:ptCount val="10"/>
                <c:pt idx="0">
                  <c:v>AT Kat 1</c:v>
                </c:pt>
                <c:pt idx="1">
                  <c:v>AT Kat 2</c:v>
                </c:pt>
                <c:pt idx="2">
                  <c:v>AT Kat 3</c:v>
                </c:pt>
                <c:pt idx="3">
                  <c:v>AT Kat 4</c:v>
                </c:pt>
                <c:pt idx="4">
                  <c:v>AT Kat 5</c:v>
                </c:pt>
                <c:pt idx="5">
                  <c:v>AT Kat 6</c:v>
                </c:pt>
                <c:pt idx="6">
                  <c:v>AT Kat 7</c:v>
                </c:pt>
                <c:pt idx="7">
                  <c:v>AT Kat 8</c:v>
                </c:pt>
                <c:pt idx="8">
                  <c:v>AT Kat 9</c:v>
                </c:pt>
                <c:pt idx="9">
                  <c:v>AT Kat 10</c:v>
                </c:pt>
              </c:strCache>
            </c:strRef>
          </c:cat>
          <c:val>
            <c:numRef>
              <c:f>'Auswertung nach Unfallkategorie'!$M$7:$M$16</c:f>
              <c:numCache>
                <c:formatCode>General</c:formatCode>
                <c:ptCount val="10"/>
                <c:pt idx="0">
                  <c:v>600</c:v>
                </c:pt>
                <c:pt idx="1">
                  <c:v>600</c:v>
                </c:pt>
                <c:pt idx="2">
                  <c:v>600</c:v>
                </c:pt>
                <c:pt idx="3">
                  <c:v>600</c:v>
                </c:pt>
                <c:pt idx="4">
                  <c:v>600</c:v>
                </c:pt>
                <c:pt idx="5">
                  <c:v>600</c:v>
                </c:pt>
                <c:pt idx="6">
                  <c:v>600</c:v>
                </c:pt>
                <c:pt idx="7">
                  <c:v>600</c:v>
                </c:pt>
                <c:pt idx="8">
                  <c:v>600</c:v>
                </c:pt>
                <c:pt idx="9">
                  <c:v>600</c:v>
                </c:pt>
              </c:numCache>
            </c:numRef>
          </c:val>
          <c:extLst>
            <c:ext xmlns:c16="http://schemas.microsoft.com/office/drawing/2014/chart" uri="{C3380CC4-5D6E-409C-BE32-E72D297353CC}">
              <c16:uniqueId val="{00000004-A1B9-469D-9314-AE303612AD51}"/>
            </c:ext>
          </c:extLst>
        </c:ser>
        <c:dLbls>
          <c:showLegendKey val="0"/>
          <c:showVal val="0"/>
          <c:showCatName val="0"/>
          <c:showSerName val="0"/>
          <c:showPercent val="0"/>
          <c:showBubbleSize val="0"/>
        </c:dLbls>
        <c:gapWidth val="150"/>
        <c:overlap val="100"/>
        <c:axId val="645836832"/>
        <c:axId val="645842232"/>
      </c:barChart>
      <c:catAx>
        <c:axId val="64583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crossAx val="645842232"/>
        <c:crosses val="autoZero"/>
        <c:auto val="1"/>
        <c:lblAlgn val="ctr"/>
        <c:lblOffset val="100"/>
        <c:noMultiLvlLbl val="0"/>
      </c:catAx>
      <c:valAx>
        <c:axId val="6458422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crossAx val="645836832"/>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8</xdr:col>
      <xdr:colOff>528637</xdr:colOff>
      <xdr:row>8</xdr:row>
      <xdr:rowOff>119062</xdr:rowOff>
    </xdr:from>
    <xdr:to>
      <xdr:col>14</xdr:col>
      <xdr:colOff>71437</xdr:colOff>
      <xdr:row>18</xdr:row>
      <xdr:rowOff>300037</xdr:rowOff>
    </xdr:to>
    <xdr:graphicFrame macro="">
      <xdr:nvGraphicFramePr>
        <xdr:cNvPr id="2" name="Diagramm 1" descr="Entwicklung der UH-Zahlen des Unternehmens">
          <a:extLst>
            <a:ext uri="{FF2B5EF4-FFF2-40B4-BE49-F238E27FC236}">
              <a16:creationId xmlns:a16="http://schemas.microsoft.com/office/drawing/2014/main" id="{0FD4E926-A178-068C-CE69-05FE573E22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776286</xdr:colOff>
      <xdr:row>17</xdr:row>
      <xdr:rowOff>280986</xdr:rowOff>
    </xdr:from>
    <xdr:to>
      <xdr:col>3</xdr:col>
      <xdr:colOff>990599</xdr:colOff>
      <xdr:row>34</xdr:row>
      <xdr:rowOff>9525</xdr:rowOff>
    </xdr:to>
    <xdr:graphicFrame macro="">
      <xdr:nvGraphicFramePr>
        <xdr:cNvPr id="2" name="Diagramm 1" descr="Entwicklung TPQ">
          <a:extLst>
            <a:ext uri="{FF2B5EF4-FFF2-40B4-BE49-F238E27FC236}">
              <a16:creationId xmlns:a16="http://schemas.microsoft.com/office/drawing/2014/main" id="{4D4C5AF6-A1D3-4B9D-95C6-96CB6EC636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642936</xdr:colOff>
      <xdr:row>17</xdr:row>
      <xdr:rowOff>309561</xdr:rowOff>
    </xdr:from>
    <xdr:to>
      <xdr:col>3</xdr:col>
      <xdr:colOff>981075</xdr:colOff>
      <xdr:row>35</xdr:row>
      <xdr:rowOff>38100</xdr:rowOff>
    </xdr:to>
    <xdr:graphicFrame macro="">
      <xdr:nvGraphicFramePr>
        <xdr:cNvPr id="2" name="Diagramm 1" descr="Entwicklung SG">
          <a:extLst>
            <a:ext uri="{FF2B5EF4-FFF2-40B4-BE49-F238E27FC236}">
              <a16:creationId xmlns:a16="http://schemas.microsoft.com/office/drawing/2014/main" id="{C571A4E9-7EFD-40F8-834D-A5E93C6B9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614361</xdr:colOff>
      <xdr:row>17</xdr:row>
      <xdr:rowOff>271461</xdr:rowOff>
    </xdr:from>
    <xdr:to>
      <xdr:col>3</xdr:col>
      <xdr:colOff>952500</xdr:colOff>
      <xdr:row>35</xdr:row>
      <xdr:rowOff>0</xdr:rowOff>
    </xdr:to>
    <xdr:graphicFrame macro="">
      <xdr:nvGraphicFramePr>
        <xdr:cNvPr id="2" name="Diagramm 1" descr="Entwicklung SG pro Arbeitsunfall">
          <a:extLst>
            <a:ext uri="{FF2B5EF4-FFF2-40B4-BE49-F238E27FC236}">
              <a16:creationId xmlns:a16="http://schemas.microsoft.com/office/drawing/2014/main" id="{F746605B-3474-405E-AA1A-433542C775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1042987</xdr:colOff>
      <xdr:row>19</xdr:row>
      <xdr:rowOff>180975</xdr:rowOff>
    </xdr:from>
    <xdr:to>
      <xdr:col>3</xdr:col>
      <xdr:colOff>1266825</xdr:colOff>
      <xdr:row>34</xdr:row>
      <xdr:rowOff>85725</xdr:rowOff>
    </xdr:to>
    <xdr:graphicFrame macro="">
      <xdr:nvGraphicFramePr>
        <xdr:cNvPr id="2" name="Diagramm 1" descr="Entwicklung TFIR, FAT, LTC, MTC und RWC">
          <a:extLst>
            <a:ext uri="{FF2B5EF4-FFF2-40B4-BE49-F238E27FC236}">
              <a16:creationId xmlns:a16="http://schemas.microsoft.com/office/drawing/2014/main" id="{4BAA22C6-2D39-42B2-90CE-F123F2E7BC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1042987</xdr:colOff>
      <xdr:row>23</xdr:row>
      <xdr:rowOff>180975</xdr:rowOff>
    </xdr:from>
    <xdr:to>
      <xdr:col>3</xdr:col>
      <xdr:colOff>1266825</xdr:colOff>
      <xdr:row>38</xdr:row>
      <xdr:rowOff>85725</xdr:rowOff>
    </xdr:to>
    <xdr:graphicFrame macro="">
      <xdr:nvGraphicFramePr>
        <xdr:cNvPr id="3" name="Diagramm 2" descr="Entwicklung TFIR, FAT, LTC, MTC und RWC&#10;">
          <a:extLst>
            <a:ext uri="{FF2B5EF4-FFF2-40B4-BE49-F238E27FC236}">
              <a16:creationId xmlns:a16="http://schemas.microsoft.com/office/drawing/2014/main" id="{6AA8320B-0BD7-FB3A-9F27-DB7F0E950D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190499</xdr:colOff>
      <xdr:row>25</xdr:row>
      <xdr:rowOff>85725</xdr:rowOff>
    </xdr:from>
    <xdr:to>
      <xdr:col>2</xdr:col>
      <xdr:colOff>1209675</xdr:colOff>
      <xdr:row>37</xdr:row>
      <xdr:rowOff>114300</xdr:rowOff>
    </xdr:to>
    <xdr:graphicFrame macro="">
      <xdr:nvGraphicFramePr>
        <xdr:cNvPr id="3" name="Diagramm 2" descr="SG pro AU-Kategorie im Unternehmen im Kalenderjahr">
          <a:extLst>
            <a:ext uri="{FF2B5EF4-FFF2-40B4-BE49-F238E27FC236}">
              <a16:creationId xmlns:a16="http://schemas.microsoft.com/office/drawing/2014/main" id="{FF73F263-1A00-EE7B-5B57-A96903C56B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28574</xdr:colOff>
      <xdr:row>23</xdr:row>
      <xdr:rowOff>104775</xdr:rowOff>
    </xdr:from>
    <xdr:to>
      <xdr:col>7</xdr:col>
      <xdr:colOff>904875</xdr:colOff>
      <xdr:row>37</xdr:row>
      <xdr:rowOff>0</xdr:rowOff>
    </xdr:to>
    <xdr:graphicFrame macro="">
      <xdr:nvGraphicFramePr>
        <xdr:cNvPr id="2" name="Diagramm 1" descr="SG pro AU-Kategorie Baustelle im Unternehmen im Kalenderjahr&#10;">
          <a:extLst>
            <a:ext uri="{FF2B5EF4-FFF2-40B4-BE49-F238E27FC236}">
              <a16:creationId xmlns:a16="http://schemas.microsoft.com/office/drawing/2014/main" id="{A4B702DF-F38A-48F8-8FB9-CEB855194D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142872</xdr:colOff>
      <xdr:row>17</xdr:row>
      <xdr:rowOff>0</xdr:rowOff>
    </xdr:from>
    <xdr:to>
      <xdr:col>5</xdr:col>
      <xdr:colOff>333374</xdr:colOff>
      <xdr:row>40</xdr:row>
      <xdr:rowOff>76200</xdr:rowOff>
    </xdr:to>
    <xdr:graphicFrame macro="">
      <xdr:nvGraphicFramePr>
        <xdr:cNvPr id="4" name="Diagramm 3" descr="Auswertung Arbeitsunfälle und Beinahe-Unfälle auf den Baustellen nach Unfallkategorien">
          <a:extLst>
            <a:ext uri="{FF2B5EF4-FFF2-40B4-BE49-F238E27FC236}">
              <a16:creationId xmlns:a16="http://schemas.microsoft.com/office/drawing/2014/main" id="{358B07E7-B2C7-8E5C-225F-BC93EA86DF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142872</xdr:colOff>
      <xdr:row>17</xdr:row>
      <xdr:rowOff>0</xdr:rowOff>
    </xdr:from>
    <xdr:to>
      <xdr:col>12</xdr:col>
      <xdr:colOff>333374</xdr:colOff>
      <xdr:row>40</xdr:row>
      <xdr:rowOff>76200</xdr:rowOff>
    </xdr:to>
    <xdr:graphicFrame macro="">
      <xdr:nvGraphicFramePr>
        <xdr:cNvPr id="2" name="Diagramm 1" descr="Auswertung Arbeitsunfälle und Beinahe-Unfälle im Gesamtunternehmen nach Unfallkategorien">
          <a:extLst>
            <a:ext uri="{FF2B5EF4-FFF2-40B4-BE49-F238E27FC236}">
              <a16:creationId xmlns:a16="http://schemas.microsoft.com/office/drawing/2014/main" id="{5AA4909E-633F-4B95-956E-C34D1B5804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CD_BG169">
  <a:themeElements>
    <a:clrScheme name="Benutzerdefiniert 7">
      <a:dk1>
        <a:sysClr val="windowText" lastClr="000000"/>
      </a:dk1>
      <a:lt1>
        <a:sysClr val="window" lastClr="FFFFFF"/>
      </a:lt1>
      <a:dk2>
        <a:srgbClr val="004994"/>
      </a:dk2>
      <a:lt2>
        <a:srgbClr val="E4E4E4"/>
      </a:lt2>
      <a:accent1>
        <a:srgbClr val="008C8E"/>
      </a:accent1>
      <a:accent2>
        <a:srgbClr val="F14045"/>
      </a:accent2>
      <a:accent3>
        <a:srgbClr val="FF9933"/>
      </a:accent3>
      <a:accent4>
        <a:srgbClr val="004994"/>
      </a:accent4>
      <a:accent5>
        <a:srgbClr val="3C8224"/>
      </a:accent5>
      <a:accent6>
        <a:srgbClr val="008C8E"/>
      </a:accent6>
      <a:hlink>
        <a:srgbClr val="004994"/>
      </a:hlink>
      <a:folHlink>
        <a:srgbClr val="B80D78"/>
      </a:folHlink>
    </a:clrScheme>
    <a:fontScheme name="CD_BG ">
      <a:majorFont>
        <a:latin typeface="Arial"/>
        <a:ea typeface=""/>
        <a:cs typeface=""/>
      </a:majorFont>
      <a:minorFont>
        <a:latin typeface="Arial"/>
        <a:ea typeface=""/>
        <a:cs typeface=""/>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noFill/>
        <a:ln>
          <a:solidFill>
            <a:schemeClr val="accent2"/>
          </a:solid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raClrScheme>
      <a:clrScheme name="DGUV-Bunt">
        <a:dk1>
          <a:srgbClr val="555555"/>
        </a:dk1>
        <a:lt1>
          <a:srgbClr val="FFFFFF"/>
        </a:lt1>
        <a:dk2>
          <a:srgbClr val="81BD57"/>
        </a:dk2>
        <a:lt2>
          <a:srgbClr val="696969"/>
        </a:lt2>
        <a:accent1>
          <a:srgbClr val="004994"/>
        </a:accent1>
        <a:accent2>
          <a:srgbClr val="19A0A3"/>
        </a:accent2>
        <a:accent3>
          <a:srgbClr val="0095DB"/>
        </a:accent3>
        <a:accent4>
          <a:srgbClr val="C44E90"/>
        </a:accent4>
        <a:accent5>
          <a:srgbClr val="F7A940"/>
        </a:accent5>
        <a:accent6>
          <a:srgbClr val="FFD543"/>
        </a:accent6>
        <a:hlink>
          <a:srgbClr val="0095DB"/>
        </a:hlink>
        <a:folHlink>
          <a:srgbClr val="51AE30"/>
        </a:folHlink>
      </a:clrScheme>
    </a:extraClrScheme>
    <a:extraClrScheme>
      <a:clrScheme name="DGUV-Standard">
        <a:dk1>
          <a:srgbClr val="555555"/>
        </a:dk1>
        <a:lt1>
          <a:srgbClr val="FFFFFF"/>
        </a:lt1>
        <a:dk2>
          <a:srgbClr val="004994"/>
        </a:dk2>
        <a:lt2>
          <a:srgbClr val="696969"/>
        </a:lt2>
        <a:accent1>
          <a:srgbClr val="004994"/>
        </a:accent1>
        <a:accent2>
          <a:srgbClr val="6EB5FF"/>
        </a:accent2>
        <a:accent3>
          <a:srgbClr val="0095DB"/>
        </a:accent3>
        <a:accent4>
          <a:srgbClr val="8AD9FF"/>
        </a:accent4>
        <a:accent5>
          <a:srgbClr val="006FA4"/>
        </a:accent5>
        <a:accent6>
          <a:srgbClr val="2590FF"/>
        </a:accent6>
        <a:hlink>
          <a:srgbClr val="0095DB"/>
        </a:hlink>
        <a:folHlink>
          <a:srgbClr val="51AE30"/>
        </a:folHlink>
      </a:clrScheme>
    </a:extraClrScheme>
    <a:extraClrScheme>
      <a:clrScheme name="DGUV PowerPoint 2003 Standard">
        <a:dk1>
          <a:srgbClr val="555555"/>
        </a:dk1>
        <a:lt1>
          <a:srgbClr val="FFFFFF"/>
        </a:lt1>
        <a:dk2>
          <a:srgbClr val="004994"/>
        </a:dk2>
        <a:lt2>
          <a:srgbClr val="696969"/>
        </a:lt2>
        <a:accent1>
          <a:srgbClr val="C8C8C8"/>
        </a:accent1>
        <a:accent2>
          <a:srgbClr val="D40F14"/>
        </a:accent2>
        <a:accent3>
          <a:srgbClr val="0095DB"/>
        </a:accent3>
        <a:accent4>
          <a:srgbClr val="51AE30"/>
        </a:accent4>
        <a:accent5>
          <a:srgbClr val="004994"/>
        </a:accent5>
        <a:accent6>
          <a:srgbClr val="008C8E"/>
        </a:accent6>
        <a:hlink>
          <a:srgbClr val="0095DB"/>
        </a:hlink>
        <a:folHlink>
          <a:srgbClr val="51AE30"/>
        </a:folHlink>
      </a:clrScheme>
    </a:extraClrScheme>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64434-B144-47DF-B074-EFE5A1CBB920}">
  <dimension ref="A1:L12"/>
  <sheetViews>
    <sheetView workbookViewId="0">
      <selection activeCell="A12" sqref="A12:H12"/>
    </sheetView>
  </sheetViews>
  <sheetFormatPr baseColWidth="10" defaultColWidth="11" defaultRowHeight="14.25" x14ac:dyDescent="0.2"/>
  <cols>
    <col min="1" max="1" width="18.125" style="1" customWidth="1"/>
    <col min="2" max="4" width="18.75" style="1" customWidth="1"/>
    <col min="5" max="5" width="14.625" style="1" customWidth="1"/>
    <col min="6" max="6" width="18.125" style="1" customWidth="1"/>
    <col min="7" max="7" width="16" style="1" customWidth="1"/>
    <col min="8" max="8" width="4.75" style="1" customWidth="1"/>
    <col min="9" max="9" width="4.25" style="1" customWidth="1"/>
    <col min="10" max="10" width="23.375" style="1" customWidth="1"/>
    <col min="11" max="11" width="18.875" style="1" customWidth="1"/>
    <col min="12" max="12" width="16.75" style="1" customWidth="1"/>
    <col min="13" max="13" width="16.5" style="1" customWidth="1"/>
    <col min="14" max="16384" width="11" style="1"/>
  </cols>
  <sheetData>
    <row r="1" spans="1:12" ht="33.75" customHeight="1" thickBot="1" x14ac:dyDescent="0.25">
      <c r="A1" s="16" t="s">
        <v>12</v>
      </c>
      <c r="B1" s="187" t="s">
        <v>13</v>
      </c>
      <c r="C1" s="188"/>
      <c r="D1" s="188"/>
      <c r="E1" s="188"/>
      <c r="F1" s="189"/>
      <c r="G1" s="190" t="s">
        <v>107</v>
      </c>
      <c r="H1" s="191"/>
    </row>
    <row r="2" spans="1:12" ht="8.25" customHeight="1" thickBot="1" x14ac:dyDescent="0.25">
      <c r="A2" s="166"/>
      <c r="B2" s="166"/>
      <c r="C2" s="166"/>
      <c r="D2" s="166"/>
      <c r="E2" s="166"/>
      <c r="F2" s="166"/>
      <c r="G2" s="166"/>
      <c r="H2" s="166"/>
    </row>
    <row r="3" spans="1:12" ht="21" customHeight="1" thickBot="1" x14ac:dyDescent="0.25">
      <c r="A3" s="192" t="s">
        <v>144</v>
      </c>
      <c r="B3" s="193"/>
      <c r="C3" s="193"/>
      <c r="D3" s="193"/>
      <c r="E3" s="193"/>
      <c r="F3" s="193"/>
      <c r="G3" s="193"/>
      <c r="H3" s="194"/>
      <c r="J3" s="181"/>
      <c r="K3" s="181"/>
      <c r="L3" s="181"/>
    </row>
    <row r="4" spans="1:12" ht="5.25" customHeight="1" thickBot="1" x14ac:dyDescent="0.3">
      <c r="A4" s="182"/>
      <c r="B4" s="183"/>
      <c r="C4" s="183"/>
      <c r="D4" s="183"/>
      <c r="E4" s="183"/>
      <c r="F4" s="183"/>
      <c r="G4" s="183"/>
      <c r="H4" s="183"/>
    </row>
    <row r="5" spans="1:12" ht="90" customHeight="1" thickBot="1" x14ac:dyDescent="0.25">
      <c r="A5" s="184" t="s">
        <v>160</v>
      </c>
      <c r="B5" s="185"/>
      <c r="C5" s="185"/>
      <c r="D5" s="185"/>
      <c r="E5" s="185"/>
      <c r="F5" s="185"/>
      <c r="G5" s="185"/>
      <c r="H5" s="186"/>
    </row>
    <row r="6" spans="1:12" ht="18" customHeight="1" thickBot="1" x14ac:dyDescent="0.25">
      <c r="A6" s="159"/>
      <c r="B6" s="160"/>
      <c r="C6" s="160"/>
      <c r="D6" s="160"/>
      <c r="E6" s="160"/>
      <c r="F6" s="160"/>
      <c r="G6" s="160"/>
      <c r="H6" s="160"/>
    </row>
    <row r="7" spans="1:12" ht="94.5" customHeight="1" thickBot="1" x14ac:dyDescent="0.25">
      <c r="A7" s="176" t="s">
        <v>161</v>
      </c>
      <c r="B7" s="177"/>
      <c r="C7" s="177"/>
      <c r="D7" s="177"/>
      <c r="E7" s="177"/>
      <c r="F7" s="177"/>
      <c r="G7" s="177"/>
      <c r="H7" s="178"/>
    </row>
    <row r="8" spans="1:12" ht="11.25" customHeight="1" thickBot="1" x14ac:dyDescent="0.25"/>
    <row r="9" spans="1:12" s="20" customFormat="1" ht="13.5" customHeight="1" x14ac:dyDescent="0.2">
      <c r="A9" s="17"/>
      <c r="B9" s="179" t="s">
        <v>17</v>
      </c>
      <c r="C9" s="179"/>
      <c r="D9" s="179" t="s">
        <v>18</v>
      </c>
      <c r="E9" s="179"/>
      <c r="F9" s="179" t="s">
        <v>19</v>
      </c>
      <c r="G9" s="179"/>
      <c r="H9" s="180"/>
    </row>
    <row r="10" spans="1:12" s="20" customFormat="1" ht="13.5" customHeight="1" x14ac:dyDescent="0.2">
      <c r="A10" s="21" t="s">
        <v>15</v>
      </c>
      <c r="B10" s="171" t="s">
        <v>20</v>
      </c>
      <c r="C10" s="171"/>
      <c r="D10" s="171" t="s">
        <v>20</v>
      </c>
      <c r="E10" s="171"/>
      <c r="F10" s="171" t="s">
        <v>20</v>
      </c>
      <c r="G10" s="171"/>
      <c r="H10" s="172"/>
    </row>
    <row r="11" spans="1:12" s="20" customFormat="1" ht="13.5" customHeight="1" x14ac:dyDescent="0.2">
      <c r="A11" s="21" t="s">
        <v>16</v>
      </c>
      <c r="B11" s="171" t="s">
        <v>21</v>
      </c>
      <c r="C11" s="171"/>
      <c r="D11" s="171" t="s">
        <v>22</v>
      </c>
      <c r="E11" s="171"/>
      <c r="F11" s="171" t="s">
        <v>23</v>
      </c>
      <c r="G11" s="171"/>
      <c r="H11" s="172"/>
    </row>
    <row r="12" spans="1:12" s="20" customFormat="1" ht="13.5" customHeight="1" thickBot="1" x14ac:dyDescent="0.25">
      <c r="A12" s="173" t="s">
        <v>167</v>
      </c>
      <c r="B12" s="174"/>
      <c r="C12" s="174"/>
      <c r="D12" s="174"/>
      <c r="E12" s="174"/>
      <c r="F12" s="174"/>
      <c r="G12" s="174"/>
      <c r="H12" s="175"/>
    </row>
  </sheetData>
  <mergeCells count="17">
    <mergeCell ref="J3:L3"/>
    <mergeCell ref="A4:H4"/>
    <mergeCell ref="A5:H5"/>
    <mergeCell ref="B1:F1"/>
    <mergeCell ref="G1:H1"/>
    <mergeCell ref="A3:H3"/>
    <mergeCell ref="B11:C11"/>
    <mergeCell ref="D11:E11"/>
    <mergeCell ref="F11:H11"/>
    <mergeCell ref="A12:H12"/>
    <mergeCell ref="A7:H7"/>
    <mergeCell ref="B9:C9"/>
    <mergeCell ref="D9:E9"/>
    <mergeCell ref="F9:H9"/>
    <mergeCell ref="B10:C10"/>
    <mergeCell ref="D10:E10"/>
    <mergeCell ref="F10:H10"/>
  </mergeCells>
  <pageMargins left="0.70866141732283472" right="0.70866141732283472" top="0.78740157480314965" bottom="0.78740157480314965" header="0.31496062992125984" footer="0.31496062992125984"/>
  <pageSetup paperSize="9" scale="90" orientation="landscape" r:id="rId1"/>
  <headerFooter>
    <oddFooter>&amp;R&amp;P/&amp;N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0"/>
  <sheetViews>
    <sheetView tabSelected="1" workbookViewId="0">
      <selection activeCell="A30" sqref="A30:H30"/>
    </sheetView>
  </sheetViews>
  <sheetFormatPr baseColWidth="10" defaultColWidth="11" defaultRowHeight="14.25" x14ac:dyDescent="0.2"/>
  <cols>
    <col min="1" max="1" width="18.125" style="1" customWidth="1"/>
    <col min="2" max="4" width="18.75" style="1" customWidth="1"/>
    <col min="5" max="5" width="14.625" style="1" customWidth="1"/>
    <col min="6" max="6" width="18.125" style="1" customWidth="1"/>
    <col min="7" max="7" width="16" style="1" customWidth="1"/>
    <col min="8" max="8" width="4.75" style="1" customWidth="1"/>
    <col min="9" max="9" width="4.25" style="1" customWidth="1"/>
    <col min="10" max="10" width="23.375" style="1" customWidth="1"/>
    <col min="11" max="11" width="18.875" style="1" customWidth="1"/>
    <col min="12" max="12" width="16.75" style="1" customWidth="1"/>
    <col min="13" max="13" width="16.5" style="1" customWidth="1"/>
    <col min="14" max="16384" width="11" style="1"/>
  </cols>
  <sheetData>
    <row r="1" spans="1:13" ht="33.75" customHeight="1" thickBot="1" x14ac:dyDescent="0.25">
      <c r="A1" s="16" t="s">
        <v>12</v>
      </c>
      <c r="B1" s="187" t="s">
        <v>13</v>
      </c>
      <c r="C1" s="188"/>
      <c r="D1" s="188"/>
      <c r="E1" s="188"/>
      <c r="F1" s="189"/>
      <c r="G1" s="190" t="s">
        <v>107</v>
      </c>
      <c r="H1" s="191"/>
    </row>
    <row r="2" spans="1:13" ht="8.25" customHeight="1" thickBot="1" x14ac:dyDescent="0.25">
      <c r="A2" s="166"/>
      <c r="B2" s="166"/>
      <c r="C2" s="166"/>
      <c r="D2" s="166"/>
      <c r="E2" s="166"/>
      <c r="F2" s="166"/>
      <c r="G2" s="166"/>
      <c r="H2" s="166"/>
    </row>
    <row r="3" spans="1:13" ht="21" customHeight="1" thickBot="1" x14ac:dyDescent="0.25">
      <c r="A3" s="192" t="s">
        <v>11</v>
      </c>
      <c r="B3" s="193"/>
      <c r="C3" s="193"/>
      <c r="D3" s="193"/>
      <c r="E3" s="193"/>
      <c r="F3" s="193"/>
      <c r="G3" s="193"/>
      <c r="H3" s="194"/>
      <c r="J3" s="181"/>
      <c r="K3" s="181"/>
      <c r="L3" s="181"/>
    </row>
    <row r="4" spans="1:13" ht="5.25" customHeight="1" thickBot="1" x14ac:dyDescent="0.3">
      <c r="A4" s="182"/>
      <c r="B4" s="183"/>
      <c r="C4" s="183"/>
      <c r="D4" s="183"/>
      <c r="E4" s="183"/>
      <c r="F4" s="183"/>
      <c r="G4" s="183"/>
      <c r="H4" s="183"/>
    </row>
    <row r="5" spans="1:13" ht="20.25" customHeight="1" thickBot="1" x14ac:dyDescent="0.25">
      <c r="A5" s="192" t="s">
        <v>5</v>
      </c>
      <c r="B5" s="193"/>
      <c r="C5" s="193"/>
      <c r="D5" s="193"/>
      <c r="E5" s="193"/>
      <c r="F5" s="193"/>
      <c r="G5" s="193"/>
      <c r="H5" s="194"/>
      <c r="J5" s="181"/>
      <c r="K5" s="181"/>
      <c r="L5" s="181"/>
      <c r="M5" s="153"/>
    </row>
    <row r="6" spans="1:13" ht="6" customHeight="1" x14ac:dyDescent="0.2">
      <c r="A6" s="209"/>
      <c r="B6" s="210"/>
      <c r="C6" s="210"/>
      <c r="D6" s="210"/>
      <c r="E6" s="210"/>
      <c r="F6" s="210"/>
      <c r="G6" s="210"/>
      <c r="H6" s="210"/>
    </row>
    <row r="7" spans="1:13" ht="34.5" customHeight="1" x14ac:dyDescent="0.2">
      <c r="A7" s="2" t="s">
        <v>2</v>
      </c>
      <c r="B7" s="211" t="s">
        <v>1</v>
      </c>
      <c r="C7" s="211"/>
      <c r="D7" s="211"/>
      <c r="E7" s="211"/>
      <c r="F7" s="211"/>
      <c r="G7" s="211"/>
      <c r="H7" s="211"/>
      <c r="J7" s="181"/>
      <c r="K7" s="181"/>
      <c r="L7" s="181"/>
    </row>
    <row r="8" spans="1:13" ht="5.25" customHeight="1" x14ac:dyDescent="0.2">
      <c r="A8" s="199"/>
      <c r="B8" s="200"/>
      <c r="C8" s="200"/>
      <c r="D8" s="200"/>
      <c r="E8" s="200"/>
      <c r="F8" s="200"/>
      <c r="G8" s="200"/>
      <c r="H8" s="200"/>
    </row>
    <row r="9" spans="1:13" ht="71.25" customHeight="1" x14ac:dyDescent="0.2">
      <c r="A9" s="2" t="s">
        <v>3</v>
      </c>
      <c r="B9" s="204" t="s">
        <v>14</v>
      </c>
      <c r="C9" s="204"/>
      <c r="D9" s="204"/>
      <c r="E9" s="204"/>
      <c r="F9" s="204"/>
      <c r="G9" s="204"/>
      <c r="H9" s="204"/>
    </row>
    <row r="10" spans="1:13" ht="4.5" customHeight="1" x14ac:dyDescent="0.2">
      <c r="A10" s="170"/>
      <c r="B10" s="169"/>
      <c r="C10" s="169"/>
      <c r="D10" s="169"/>
      <c r="E10" s="169"/>
      <c r="F10" s="169"/>
      <c r="G10" s="169"/>
      <c r="H10" s="169"/>
    </row>
    <row r="11" spans="1:13" ht="15" x14ac:dyDescent="0.25">
      <c r="A11" s="3" t="s">
        <v>4</v>
      </c>
      <c r="B11" s="205" t="s">
        <v>145</v>
      </c>
      <c r="C11" s="205"/>
      <c r="D11" s="205"/>
      <c r="E11" s="205"/>
      <c r="F11" s="205"/>
      <c r="G11" s="205"/>
      <c r="H11" s="205"/>
    </row>
    <row r="12" spans="1:13" ht="6.75" customHeight="1" x14ac:dyDescent="0.25">
      <c r="A12" s="167"/>
      <c r="B12" s="168"/>
      <c r="C12" s="168"/>
      <c r="D12" s="168"/>
      <c r="E12" s="168"/>
      <c r="F12" s="168"/>
      <c r="G12" s="168"/>
      <c r="H12" s="168"/>
    </row>
    <row r="13" spans="1:13" ht="27.75" customHeight="1" x14ac:dyDescent="0.2">
      <c r="A13" s="212" t="s">
        <v>133</v>
      </c>
      <c r="B13" s="213"/>
      <c r="C13" s="213"/>
      <c r="D13" s="213"/>
      <c r="E13" s="213"/>
      <c r="F13" s="213"/>
      <c r="G13" s="213"/>
      <c r="H13" s="214"/>
    </row>
    <row r="14" spans="1:13" ht="7.5" customHeight="1" thickBot="1" x14ac:dyDescent="0.25">
      <c r="A14" s="199"/>
      <c r="B14" s="200"/>
      <c r="C14" s="200"/>
      <c r="D14" s="200"/>
      <c r="E14" s="200"/>
      <c r="F14" s="200"/>
      <c r="G14" s="200"/>
      <c r="H14" s="200"/>
    </row>
    <row r="15" spans="1:13" ht="32.25" customHeight="1" thickBot="1" x14ac:dyDescent="0.3">
      <c r="A15" s="206" t="s">
        <v>166</v>
      </c>
      <c r="B15" s="207"/>
      <c r="C15" s="207"/>
      <c r="D15" s="207"/>
      <c r="E15" s="207"/>
      <c r="F15" s="207"/>
      <c r="G15" s="207"/>
      <c r="H15" s="208"/>
    </row>
    <row r="16" spans="1:13" ht="9" customHeight="1" thickBot="1" x14ac:dyDescent="0.25">
      <c r="A16" s="200"/>
      <c r="B16" s="200"/>
      <c r="C16" s="200"/>
      <c r="D16" s="200"/>
      <c r="E16" s="200"/>
      <c r="F16" s="200"/>
      <c r="G16" s="200"/>
      <c r="H16" s="200"/>
    </row>
    <row r="17" spans="1:13" ht="21.75" customHeight="1" thickBot="1" x14ac:dyDescent="0.25">
      <c r="A17" s="201" t="s">
        <v>165</v>
      </c>
      <c r="B17" s="202"/>
      <c r="C17" s="202"/>
      <c r="D17" s="202"/>
      <c r="E17" s="202"/>
      <c r="F17" s="202"/>
      <c r="G17" s="202"/>
      <c r="H17" s="203"/>
    </row>
    <row r="18" spans="1:13" ht="6" customHeight="1" x14ac:dyDescent="0.2">
      <c r="A18" s="197"/>
      <c r="B18" s="198"/>
      <c r="C18" s="198"/>
      <c r="D18" s="198"/>
      <c r="E18" s="198"/>
      <c r="F18" s="198"/>
      <c r="G18" s="198"/>
      <c r="H18" s="198"/>
    </row>
    <row r="19" spans="1:13" ht="41.25" customHeight="1" x14ac:dyDescent="0.2">
      <c r="A19" s="215" t="s">
        <v>96</v>
      </c>
      <c r="B19" s="216"/>
      <c r="C19" s="216"/>
      <c r="D19" s="216"/>
      <c r="E19" s="216"/>
      <c r="F19" s="216"/>
      <c r="G19" s="216"/>
      <c r="H19" s="216"/>
    </row>
    <row r="20" spans="1:13" ht="8.25" customHeight="1" thickBot="1" x14ac:dyDescent="0.25">
      <c r="A20" s="217"/>
      <c r="B20" s="200"/>
      <c r="C20" s="200"/>
      <c r="D20" s="200"/>
      <c r="E20" s="200"/>
      <c r="F20" s="200"/>
      <c r="G20" s="200"/>
      <c r="H20" s="200"/>
    </row>
    <row r="21" spans="1:13" ht="30" customHeight="1" thickBot="1" x14ac:dyDescent="0.3">
      <c r="A21" s="6"/>
      <c r="B21" s="9" t="s">
        <v>8</v>
      </c>
      <c r="C21" s="9" t="s">
        <v>9</v>
      </c>
      <c r="D21" s="10" t="s">
        <v>27</v>
      </c>
    </row>
    <row r="22" spans="1:13" ht="27.75" customHeight="1" thickBot="1" x14ac:dyDescent="0.4">
      <c r="A22" s="11" t="s">
        <v>7</v>
      </c>
      <c r="B22" s="4">
        <v>170000</v>
      </c>
      <c r="C22" s="4">
        <v>180000</v>
      </c>
      <c r="D22" s="7">
        <v>190000</v>
      </c>
      <c r="F22" s="46" t="s">
        <v>10</v>
      </c>
      <c r="G22" s="195">
        <f>SUM($B$23:$D$23)*1000000/SUM($B$22:$D$22)</f>
        <v>22.222222222222221</v>
      </c>
      <c r="H22" s="196"/>
      <c r="J22" s="154"/>
      <c r="K22" s="155"/>
      <c r="L22" s="155"/>
      <c r="M22" s="155"/>
    </row>
    <row r="23" spans="1:13" ht="27.75" customHeight="1" x14ac:dyDescent="0.25">
      <c r="A23" s="11" t="s">
        <v>6</v>
      </c>
      <c r="B23" s="5">
        <v>5</v>
      </c>
      <c r="C23" s="5">
        <v>4</v>
      </c>
      <c r="D23" s="8">
        <v>3</v>
      </c>
      <c r="F23" s="13"/>
      <c r="G23" s="14"/>
      <c r="J23" s="156"/>
      <c r="K23" s="154"/>
      <c r="L23" s="154"/>
      <c r="M23" s="154"/>
    </row>
    <row r="24" spans="1:13" ht="27.75" customHeight="1" thickBot="1" x14ac:dyDescent="0.25">
      <c r="A24" s="12" t="s">
        <v>0</v>
      </c>
      <c r="B24" s="25">
        <f>$B$23*1000000/$B$22</f>
        <v>29.411764705882351</v>
      </c>
      <c r="C24" s="25">
        <f>$C$23*1000000/$C$22</f>
        <v>22.222222222222221</v>
      </c>
      <c r="D24" s="26">
        <f>$D$23*1000000/$D$22</f>
        <v>15.789473684210526</v>
      </c>
    </row>
    <row r="25" spans="1:13" ht="36.75" customHeight="1" x14ac:dyDescent="0.2">
      <c r="A25" s="158" t="s">
        <v>140</v>
      </c>
      <c r="B25" s="157">
        <v>32.78</v>
      </c>
      <c r="C25" s="157">
        <v>32.369999999999997</v>
      </c>
      <c r="D25" s="157">
        <v>30.55</v>
      </c>
    </row>
    <row r="26" spans="1:13" ht="11.25" customHeight="1" thickBot="1" x14ac:dyDescent="0.25"/>
    <row r="27" spans="1:13" s="20" customFormat="1" ht="13.5" customHeight="1" x14ac:dyDescent="0.2">
      <c r="A27" s="17"/>
      <c r="B27" s="179" t="s">
        <v>17</v>
      </c>
      <c r="C27" s="179"/>
      <c r="D27" s="179" t="s">
        <v>18</v>
      </c>
      <c r="E27" s="179"/>
      <c r="F27" s="179" t="s">
        <v>19</v>
      </c>
      <c r="G27" s="179"/>
      <c r="H27" s="180"/>
    </row>
    <row r="28" spans="1:13" s="20" customFormat="1" ht="13.5" customHeight="1" x14ac:dyDescent="0.2">
      <c r="A28" s="21" t="s">
        <v>15</v>
      </c>
      <c r="B28" s="171" t="s">
        <v>20</v>
      </c>
      <c r="C28" s="171"/>
      <c r="D28" s="171" t="s">
        <v>20</v>
      </c>
      <c r="E28" s="171"/>
      <c r="F28" s="171" t="s">
        <v>20</v>
      </c>
      <c r="G28" s="171"/>
      <c r="H28" s="172"/>
    </row>
    <row r="29" spans="1:13" s="20" customFormat="1" ht="13.5" customHeight="1" x14ac:dyDescent="0.2">
      <c r="A29" s="21" t="s">
        <v>16</v>
      </c>
      <c r="B29" s="171" t="s">
        <v>21</v>
      </c>
      <c r="C29" s="171"/>
      <c r="D29" s="171" t="s">
        <v>22</v>
      </c>
      <c r="E29" s="171"/>
      <c r="F29" s="171" t="s">
        <v>23</v>
      </c>
      <c r="G29" s="171"/>
      <c r="H29" s="172"/>
    </row>
    <row r="30" spans="1:13" s="20" customFormat="1" ht="13.5" customHeight="1" thickBot="1" x14ac:dyDescent="0.25">
      <c r="A30" s="173" t="s">
        <v>167</v>
      </c>
      <c r="B30" s="174"/>
      <c r="C30" s="174"/>
      <c r="D30" s="174"/>
      <c r="E30" s="174"/>
      <c r="F30" s="174"/>
      <c r="G30" s="174"/>
      <c r="H30" s="175"/>
    </row>
  </sheetData>
  <mergeCells count="32">
    <mergeCell ref="A19:H19"/>
    <mergeCell ref="A20:H20"/>
    <mergeCell ref="F28:H28"/>
    <mergeCell ref="F29:H29"/>
    <mergeCell ref="G1:H1"/>
    <mergeCell ref="B1:F1"/>
    <mergeCell ref="B9:H9"/>
    <mergeCell ref="B11:H11"/>
    <mergeCell ref="A15:H15"/>
    <mergeCell ref="A4:H4"/>
    <mergeCell ref="A6:H6"/>
    <mergeCell ref="A8:H8"/>
    <mergeCell ref="A3:H3"/>
    <mergeCell ref="B7:H7"/>
    <mergeCell ref="A5:H5"/>
    <mergeCell ref="A13:H13"/>
    <mergeCell ref="A30:H30"/>
    <mergeCell ref="B28:C28"/>
    <mergeCell ref="B29:C29"/>
    <mergeCell ref="J5:L5"/>
    <mergeCell ref="J3:L3"/>
    <mergeCell ref="J7:L7"/>
    <mergeCell ref="G22:H22"/>
    <mergeCell ref="F27:H27"/>
    <mergeCell ref="A18:H18"/>
    <mergeCell ref="A14:H14"/>
    <mergeCell ref="A17:H17"/>
    <mergeCell ref="A16:H16"/>
    <mergeCell ref="D27:E27"/>
    <mergeCell ref="D28:E28"/>
    <mergeCell ref="D29:E29"/>
    <mergeCell ref="B27:C27"/>
  </mergeCells>
  <phoneticPr fontId="22" type="noConversion"/>
  <pageMargins left="0.70866141732283472" right="0.70866141732283472" top="0.78740157480314965" bottom="0.78740157480314965" header="0.31496062992125984" footer="0.31496062992125984"/>
  <pageSetup paperSize="9" scale="90" orientation="landscape" r:id="rId1"/>
  <headerFooter>
    <oddFooter>&amp;R&amp;P/&amp;N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1A7D3-03E9-40AA-B37A-ADA14FB22381}">
  <dimension ref="A1:E39"/>
  <sheetViews>
    <sheetView topLeftCell="A14" workbookViewId="0">
      <selection activeCell="J8" sqref="J8"/>
    </sheetView>
  </sheetViews>
  <sheetFormatPr baseColWidth="10" defaultColWidth="11" defaultRowHeight="14.25" x14ac:dyDescent="0.2"/>
  <cols>
    <col min="1" max="3" width="21" style="1" customWidth="1"/>
    <col min="4" max="4" width="22.25" style="1" customWidth="1"/>
    <col min="5" max="16384" width="11" style="1"/>
  </cols>
  <sheetData>
    <row r="1" spans="1:5" ht="39.75" customHeight="1" thickBot="1" x14ac:dyDescent="0.25">
      <c r="A1" s="16" t="s">
        <v>12</v>
      </c>
      <c r="B1" s="187" t="s">
        <v>13</v>
      </c>
      <c r="C1" s="188"/>
      <c r="D1" s="34" t="s">
        <v>107</v>
      </c>
    </row>
    <row r="2" spans="1:5" ht="12" customHeight="1" thickBot="1" x14ac:dyDescent="0.25">
      <c r="A2" s="236"/>
      <c r="B2" s="236"/>
      <c r="C2" s="236"/>
      <c r="D2" s="236"/>
    </row>
    <row r="3" spans="1:5" ht="26.25" customHeight="1" thickBot="1" x14ac:dyDescent="0.25">
      <c r="A3" s="222" t="s">
        <v>146</v>
      </c>
      <c r="B3" s="223"/>
      <c r="C3" s="223"/>
      <c r="D3" s="224"/>
    </row>
    <row r="4" spans="1:5" ht="5.25" customHeight="1" thickBot="1" x14ac:dyDescent="0.3">
      <c r="A4" s="182"/>
      <c r="B4" s="183"/>
      <c r="C4" s="183"/>
      <c r="D4" s="183"/>
    </row>
    <row r="5" spans="1:5" ht="51" customHeight="1" thickBot="1" x14ac:dyDescent="0.3">
      <c r="A5" s="237" t="s">
        <v>97</v>
      </c>
      <c r="B5" s="238"/>
      <c r="C5" s="238"/>
      <c r="D5" s="238"/>
    </row>
    <row r="6" spans="1:5" ht="5.25" customHeight="1" thickBot="1" x14ac:dyDescent="0.3">
      <c r="A6" s="37"/>
      <c r="B6" s="38"/>
      <c r="C6" s="38"/>
      <c r="D6" s="38"/>
    </row>
    <row r="7" spans="1:5" ht="20.25" customHeight="1" thickBot="1" x14ac:dyDescent="0.25">
      <c r="A7" s="222" t="s">
        <v>147</v>
      </c>
      <c r="B7" s="223"/>
      <c r="C7" s="223"/>
      <c r="D7" s="224"/>
    </row>
    <row r="8" spans="1:5" ht="15" customHeight="1" x14ac:dyDescent="0.25">
      <c r="A8" s="225" t="s">
        <v>31</v>
      </c>
      <c r="B8" s="226"/>
      <c r="C8" s="226"/>
      <c r="D8" s="227"/>
    </row>
    <row r="9" spans="1:5" ht="89.25" customHeight="1" x14ac:dyDescent="0.2">
      <c r="A9" s="39" t="s">
        <v>6</v>
      </c>
      <c r="B9" s="228" t="s">
        <v>32</v>
      </c>
      <c r="C9" s="229"/>
      <c r="D9" s="230"/>
    </row>
    <row r="10" spans="1:5" ht="30" customHeight="1" thickBot="1" x14ac:dyDescent="0.25">
      <c r="A10" s="40" t="s">
        <v>33</v>
      </c>
      <c r="B10" s="231" t="s">
        <v>150</v>
      </c>
      <c r="C10" s="232"/>
      <c r="D10" s="233"/>
    </row>
    <row r="11" spans="1:5" ht="11.25" customHeight="1" x14ac:dyDescent="0.2">
      <c r="A11" s="28"/>
      <c r="B11" s="15"/>
      <c r="C11" s="15"/>
      <c r="D11" s="15"/>
      <c r="E11" s="36"/>
    </row>
    <row r="12" spans="1:5" ht="57.75" customHeight="1" x14ac:dyDescent="0.2">
      <c r="A12" s="234" t="s">
        <v>148</v>
      </c>
      <c r="B12" s="235"/>
      <c r="C12" s="235"/>
      <c r="D12" s="235"/>
    </row>
    <row r="13" spans="1:5" ht="8.25" customHeight="1" thickBot="1" x14ac:dyDescent="0.25">
      <c r="A13" s="217"/>
      <c r="B13" s="200"/>
      <c r="C13" s="200"/>
      <c r="D13" s="200"/>
    </row>
    <row r="14" spans="1:5" ht="27.75" customHeight="1" x14ac:dyDescent="0.25">
      <c r="A14" s="6"/>
      <c r="B14" s="47" t="s">
        <v>8</v>
      </c>
      <c r="C14" s="47" t="s">
        <v>9</v>
      </c>
      <c r="D14" s="48" t="s">
        <v>27</v>
      </c>
    </row>
    <row r="15" spans="1:5" ht="27.75" customHeight="1" x14ac:dyDescent="0.2">
      <c r="A15" s="24" t="s">
        <v>33</v>
      </c>
      <c r="B15" s="4">
        <v>102</v>
      </c>
      <c r="C15" s="4">
        <v>104</v>
      </c>
      <c r="D15" s="7">
        <v>106</v>
      </c>
    </row>
    <row r="16" spans="1:5" ht="27.75" customHeight="1" x14ac:dyDescent="0.2">
      <c r="A16" s="24" t="s">
        <v>6</v>
      </c>
      <c r="B16" s="5">
        <v>8</v>
      </c>
      <c r="C16" s="5">
        <v>6</v>
      </c>
      <c r="D16" s="8">
        <v>3</v>
      </c>
    </row>
    <row r="17" spans="1:4" ht="27.75" customHeight="1" thickBot="1" x14ac:dyDescent="0.25">
      <c r="A17" s="49" t="s">
        <v>149</v>
      </c>
      <c r="B17" s="25">
        <f>B16*1000/B15</f>
        <v>78.431372549019613</v>
      </c>
      <c r="C17" s="25">
        <f>C16*1000/C15</f>
        <v>57.692307692307693</v>
      </c>
      <c r="D17" s="26">
        <f>D16*1000/D15</f>
        <v>28.30188679245283</v>
      </c>
    </row>
    <row r="18" spans="1:4" ht="27.75" customHeight="1" x14ac:dyDescent="0.2">
      <c r="A18" s="30"/>
      <c r="B18" s="29"/>
      <c r="C18" s="29"/>
      <c r="D18" s="29"/>
    </row>
    <row r="19" spans="1:4" ht="27.75" customHeight="1" x14ac:dyDescent="0.2">
      <c r="A19" s="30"/>
      <c r="B19" s="29"/>
      <c r="C19" s="29"/>
      <c r="D19" s="29"/>
    </row>
    <row r="20" spans="1:4" ht="19.5" customHeight="1" x14ac:dyDescent="0.2"/>
    <row r="21" spans="1:4" s="20" customFormat="1" ht="13.5" customHeight="1" x14ac:dyDescent="0.2">
      <c r="B21" s="32"/>
      <c r="C21" s="32"/>
      <c r="D21" s="32"/>
    </row>
    <row r="22" spans="1:4" s="20" customFormat="1" ht="13.5" customHeight="1" x14ac:dyDescent="0.2">
      <c r="A22" s="31"/>
      <c r="B22" s="33"/>
      <c r="C22" s="33"/>
      <c r="D22" s="33"/>
    </row>
    <row r="23" spans="1:4" s="20" customFormat="1" ht="13.5" customHeight="1" x14ac:dyDescent="0.2">
      <c r="A23" s="31"/>
      <c r="B23" s="33"/>
      <c r="C23" s="33"/>
      <c r="D23" s="33"/>
    </row>
    <row r="24" spans="1:4" s="20" customFormat="1" ht="13.5" customHeight="1" x14ac:dyDescent="0.2">
      <c r="A24" s="218"/>
      <c r="B24" s="218"/>
      <c r="C24" s="218"/>
      <c r="D24" s="218"/>
    </row>
    <row r="35" spans="1:4" ht="15" thickBot="1" x14ac:dyDescent="0.25"/>
    <row r="36" spans="1:4" s="20" customFormat="1" ht="13.5" customHeight="1" x14ac:dyDescent="0.2">
      <c r="A36" s="17"/>
      <c r="B36" s="18" t="s">
        <v>17</v>
      </c>
      <c r="C36" s="18" t="s">
        <v>18</v>
      </c>
      <c r="D36" s="19" t="s">
        <v>19</v>
      </c>
    </row>
    <row r="37" spans="1:4" s="20" customFormat="1" ht="13.5" customHeight="1" x14ac:dyDescent="0.2">
      <c r="A37" s="21" t="s">
        <v>15</v>
      </c>
      <c r="B37" s="22" t="s">
        <v>20</v>
      </c>
      <c r="C37" s="22" t="s">
        <v>20</v>
      </c>
      <c r="D37" s="23" t="s">
        <v>20</v>
      </c>
    </row>
    <row r="38" spans="1:4" s="20" customFormat="1" ht="13.5" customHeight="1" x14ac:dyDescent="0.2">
      <c r="A38" s="21" t="s">
        <v>16</v>
      </c>
      <c r="B38" s="22" t="s">
        <v>21</v>
      </c>
      <c r="C38" s="22" t="s">
        <v>22</v>
      </c>
      <c r="D38" s="23" t="s">
        <v>23</v>
      </c>
    </row>
    <row r="39" spans="1:4" s="20" customFormat="1" ht="13.5" customHeight="1" thickBot="1" x14ac:dyDescent="0.25">
      <c r="A39" s="219" t="s">
        <v>167</v>
      </c>
      <c r="B39" s="220"/>
      <c r="C39" s="220"/>
      <c r="D39" s="221"/>
    </row>
  </sheetData>
  <mergeCells count="13">
    <mergeCell ref="B1:C1"/>
    <mergeCell ref="A2:D2"/>
    <mergeCell ref="A3:D3"/>
    <mergeCell ref="A4:D4"/>
    <mergeCell ref="A5:D5"/>
    <mergeCell ref="A13:D13"/>
    <mergeCell ref="A24:D24"/>
    <mergeCell ref="A39:D39"/>
    <mergeCell ref="A7:D7"/>
    <mergeCell ref="A8:D8"/>
    <mergeCell ref="B9:D9"/>
    <mergeCell ref="B10:D10"/>
    <mergeCell ref="A12:D12"/>
  </mergeCells>
  <pageMargins left="0.70866141732283472" right="0.70866141732283472" top="0.78740157480314965" bottom="0.78740157480314965" header="0.31496062992125984" footer="0.31496062992125984"/>
  <pageSetup paperSize="9" scale="90" orientation="portrait" r:id="rId1"/>
  <headerFooter>
    <oddFooter>&amp;R&amp;P/&amp;N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20971-CB2A-49C6-8DD4-0D566D989533}">
  <dimension ref="A1:E40"/>
  <sheetViews>
    <sheetView topLeftCell="A15" workbookViewId="0">
      <selection activeCell="G15" sqref="G15"/>
    </sheetView>
  </sheetViews>
  <sheetFormatPr baseColWidth="10" defaultColWidth="11" defaultRowHeight="14.25" x14ac:dyDescent="0.2"/>
  <cols>
    <col min="1" max="3" width="21" style="1" customWidth="1"/>
    <col min="4" max="4" width="22.25" style="1" customWidth="1"/>
    <col min="5" max="16384" width="11" style="1"/>
  </cols>
  <sheetData>
    <row r="1" spans="1:5" ht="39.75" customHeight="1" thickBot="1" x14ac:dyDescent="0.25">
      <c r="A1" s="16" t="s">
        <v>12</v>
      </c>
      <c r="B1" s="187" t="s">
        <v>13</v>
      </c>
      <c r="C1" s="188"/>
      <c r="D1" s="34" t="s">
        <v>30</v>
      </c>
    </row>
    <row r="2" spans="1:5" ht="12" customHeight="1" thickBot="1" x14ac:dyDescent="0.25">
      <c r="A2" s="236"/>
      <c r="B2" s="236"/>
      <c r="C2" s="236"/>
      <c r="D2" s="236"/>
    </row>
    <row r="3" spans="1:5" ht="26.25" customHeight="1" thickBot="1" x14ac:dyDescent="0.25">
      <c r="A3" s="239" t="s">
        <v>36</v>
      </c>
      <c r="B3" s="240"/>
      <c r="C3" s="240"/>
      <c r="D3" s="241"/>
    </row>
    <row r="4" spans="1:5" ht="5.25" customHeight="1" thickBot="1" x14ac:dyDescent="0.3">
      <c r="A4" s="182"/>
      <c r="B4" s="183"/>
      <c r="C4" s="183"/>
      <c r="D4" s="183"/>
    </row>
    <row r="5" spans="1:5" ht="74.25" customHeight="1" thickBot="1" x14ac:dyDescent="0.3">
      <c r="A5" s="237" t="s">
        <v>152</v>
      </c>
      <c r="B5" s="238"/>
      <c r="C5" s="238"/>
      <c r="D5" s="238"/>
    </row>
    <row r="6" spans="1:5" ht="5.25" customHeight="1" thickBot="1" x14ac:dyDescent="0.3">
      <c r="A6" s="37"/>
      <c r="B6" s="38"/>
      <c r="C6" s="38"/>
      <c r="D6" s="38"/>
    </row>
    <row r="7" spans="1:5" ht="20.25" customHeight="1" thickBot="1" x14ac:dyDescent="0.25">
      <c r="A7" s="239" t="s">
        <v>37</v>
      </c>
      <c r="B7" s="240"/>
      <c r="C7" s="240"/>
      <c r="D7" s="241"/>
    </row>
    <row r="8" spans="1:5" ht="15" customHeight="1" x14ac:dyDescent="0.25">
      <c r="A8" s="242" t="s">
        <v>31</v>
      </c>
      <c r="B8" s="226"/>
      <c r="C8" s="226"/>
      <c r="D8" s="243"/>
    </row>
    <row r="9" spans="1:5" ht="32.25" customHeight="1" x14ac:dyDescent="0.2">
      <c r="A9" s="42" t="s">
        <v>35</v>
      </c>
      <c r="B9" s="228" t="s">
        <v>39</v>
      </c>
      <c r="C9" s="229"/>
      <c r="D9" s="244"/>
    </row>
    <row r="10" spans="1:5" ht="30" customHeight="1" thickBot="1" x14ac:dyDescent="0.25">
      <c r="A10" s="35" t="s">
        <v>33</v>
      </c>
      <c r="B10" s="245" t="s">
        <v>151</v>
      </c>
      <c r="C10" s="246"/>
      <c r="D10" s="247"/>
    </row>
    <row r="11" spans="1:5" ht="11.25" customHeight="1" x14ac:dyDescent="0.2">
      <c r="A11" s="28"/>
      <c r="B11" s="15"/>
      <c r="C11" s="15"/>
      <c r="D11" s="15"/>
      <c r="E11" s="36"/>
    </row>
    <row r="12" spans="1:5" ht="58.5" customHeight="1" x14ac:dyDescent="0.2">
      <c r="A12" s="234" t="s">
        <v>153</v>
      </c>
      <c r="B12" s="235"/>
      <c r="C12" s="235"/>
      <c r="D12" s="235"/>
    </row>
    <row r="13" spans="1:5" ht="8.25" customHeight="1" thickBot="1" x14ac:dyDescent="0.25">
      <c r="A13" s="217"/>
      <c r="B13" s="200"/>
      <c r="C13" s="200"/>
      <c r="D13" s="200"/>
    </row>
    <row r="14" spans="1:5" ht="27.75" customHeight="1" x14ac:dyDescent="0.25">
      <c r="A14" s="6"/>
      <c r="B14" s="148" t="s">
        <v>8</v>
      </c>
      <c r="C14" s="148" t="s">
        <v>9</v>
      </c>
      <c r="D14" s="149" t="s">
        <v>27</v>
      </c>
    </row>
    <row r="15" spans="1:5" ht="27.75" customHeight="1" x14ac:dyDescent="0.2">
      <c r="A15" s="24" t="s">
        <v>33</v>
      </c>
      <c r="B15" s="4">
        <v>102</v>
      </c>
      <c r="C15" s="4">
        <v>104</v>
      </c>
      <c r="D15" s="7">
        <v>106</v>
      </c>
    </row>
    <row r="16" spans="1:5" ht="27.75" customHeight="1" x14ac:dyDescent="0.2">
      <c r="A16" s="61" t="s">
        <v>35</v>
      </c>
      <c r="B16" s="5">
        <v>30</v>
      </c>
      <c r="C16" s="5">
        <v>25</v>
      </c>
      <c r="D16" s="8">
        <v>15</v>
      </c>
    </row>
    <row r="17" spans="1:4" ht="27.75" customHeight="1" thickBot="1" x14ac:dyDescent="0.25">
      <c r="A17" s="150" t="s">
        <v>38</v>
      </c>
      <c r="B17" s="25">
        <f>B16*1000/B15</f>
        <v>294.11764705882354</v>
      </c>
      <c r="C17" s="25">
        <f t="shared" ref="C17:D17" si="0">C16*1000/C15</f>
        <v>240.38461538461539</v>
      </c>
      <c r="D17" s="25">
        <f t="shared" si="0"/>
        <v>141.50943396226415</v>
      </c>
    </row>
    <row r="18" spans="1:4" ht="27.75" customHeight="1" x14ac:dyDescent="0.2">
      <c r="A18" s="30"/>
      <c r="B18" s="29"/>
      <c r="C18" s="29"/>
      <c r="D18" s="29"/>
    </row>
    <row r="19" spans="1:4" ht="27.75" customHeight="1" x14ac:dyDescent="0.2">
      <c r="A19" s="30"/>
      <c r="B19" s="29"/>
      <c r="C19" s="29"/>
      <c r="D19" s="29"/>
    </row>
    <row r="20" spans="1:4" ht="19.5" customHeight="1" x14ac:dyDescent="0.2"/>
    <row r="21" spans="1:4" s="20" customFormat="1" ht="13.5" customHeight="1" x14ac:dyDescent="0.2">
      <c r="B21" s="32"/>
      <c r="C21" s="32"/>
      <c r="D21" s="32"/>
    </row>
    <row r="22" spans="1:4" s="20" customFormat="1" ht="13.5" customHeight="1" x14ac:dyDescent="0.2">
      <c r="A22" s="31"/>
      <c r="B22" s="33"/>
      <c r="C22" s="33"/>
      <c r="D22" s="33"/>
    </row>
    <row r="23" spans="1:4" s="20" customFormat="1" ht="13.5" customHeight="1" x14ac:dyDescent="0.2">
      <c r="A23" s="31"/>
      <c r="B23" s="33"/>
      <c r="C23" s="33"/>
      <c r="D23" s="33"/>
    </row>
    <row r="24" spans="1:4" s="20" customFormat="1" ht="13.5" customHeight="1" x14ac:dyDescent="0.2">
      <c r="A24" s="218"/>
      <c r="B24" s="218"/>
      <c r="C24" s="218"/>
      <c r="D24" s="218"/>
    </row>
    <row r="36" spans="1:4" ht="15" thickBot="1" x14ac:dyDescent="0.25"/>
    <row r="37" spans="1:4" s="20" customFormat="1" ht="13.5" customHeight="1" x14ac:dyDescent="0.2">
      <c r="A37" s="17"/>
      <c r="B37" s="18" t="s">
        <v>17</v>
      </c>
      <c r="C37" s="18" t="s">
        <v>18</v>
      </c>
      <c r="D37" s="19" t="s">
        <v>19</v>
      </c>
    </row>
    <row r="38" spans="1:4" s="20" customFormat="1" ht="13.5" customHeight="1" x14ac:dyDescent="0.2">
      <c r="A38" s="21" t="s">
        <v>15</v>
      </c>
      <c r="B38" s="22" t="s">
        <v>20</v>
      </c>
      <c r="C38" s="22" t="s">
        <v>20</v>
      </c>
      <c r="D38" s="23" t="s">
        <v>20</v>
      </c>
    </row>
    <row r="39" spans="1:4" s="20" customFormat="1" ht="13.5" customHeight="1" x14ac:dyDescent="0.2">
      <c r="A39" s="21" t="s">
        <v>16</v>
      </c>
      <c r="B39" s="22" t="s">
        <v>21</v>
      </c>
      <c r="C39" s="22" t="s">
        <v>22</v>
      </c>
      <c r="D39" s="23" t="s">
        <v>23</v>
      </c>
    </row>
    <row r="40" spans="1:4" s="20" customFormat="1" ht="13.5" customHeight="1" thickBot="1" x14ac:dyDescent="0.25">
      <c r="A40" s="219" t="s">
        <v>167</v>
      </c>
      <c r="B40" s="220"/>
      <c r="C40" s="220"/>
      <c r="D40" s="221"/>
    </row>
  </sheetData>
  <mergeCells count="13">
    <mergeCell ref="B1:C1"/>
    <mergeCell ref="A2:D2"/>
    <mergeCell ref="A3:D3"/>
    <mergeCell ref="A4:D4"/>
    <mergeCell ref="A5:D5"/>
    <mergeCell ref="A24:D24"/>
    <mergeCell ref="A40:D40"/>
    <mergeCell ref="A7:D7"/>
    <mergeCell ref="A8:D8"/>
    <mergeCell ref="B9:D9"/>
    <mergeCell ref="B10:D10"/>
    <mergeCell ref="A12:D12"/>
    <mergeCell ref="A13:D13"/>
  </mergeCells>
  <pageMargins left="0.70866141732283472" right="0.70866141732283472" top="0.78740157480314965" bottom="0.78740157480314965" header="0.31496062992125984" footer="0.31496062992125984"/>
  <pageSetup paperSize="9" scale="90" orientation="portrait" r:id="rId1"/>
  <headerFooter>
    <oddFooter>&amp;R&amp;P/&amp;N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B79D1-1B6C-4BBE-A5D0-46C6A2939B5D}">
  <dimension ref="A1:E40"/>
  <sheetViews>
    <sheetView topLeftCell="A14" workbookViewId="0">
      <selection activeCell="J9" sqref="J9"/>
    </sheetView>
  </sheetViews>
  <sheetFormatPr baseColWidth="10" defaultColWidth="11" defaultRowHeight="14.25" x14ac:dyDescent="0.2"/>
  <cols>
    <col min="1" max="3" width="21" style="1" customWidth="1"/>
    <col min="4" max="4" width="22.25" style="1" customWidth="1"/>
    <col min="5" max="16384" width="11" style="1"/>
  </cols>
  <sheetData>
    <row r="1" spans="1:5" ht="39.75" customHeight="1" thickBot="1" x14ac:dyDescent="0.25">
      <c r="A1" s="16" t="s">
        <v>12</v>
      </c>
      <c r="B1" s="187" t="s">
        <v>13</v>
      </c>
      <c r="C1" s="188"/>
      <c r="D1" s="34" t="s">
        <v>30</v>
      </c>
    </row>
    <row r="2" spans="1:5" ht="12" customHeight="1" thickBot="1" x14ac:dyDescent="0.25">
      <c r="A2" s="236"/>
      <c r="B2" s="236"/>
      <c r="C2" s="236"/>
      <c r="D2" s="236"/>
    </row>
    <row r="3" spans="1:5" ht="26.25" customHeight="1" thickBot="1" x14ac:dyDescent="0.25">
      <c r="A3" s="239" t="s">
        <v>40</v>
      </c>
      <c r="B3" s="240"/>
      <c r="C3" s="240"/>
      <c r="D3" s="241"/>
    </row>
    <row r="4" spans="1:5" ht="5.25" customHeight="1" thickBot="1" x14ac:dyDescent="0.3">
      <c r="A4" s="182"/>
      <c r="B4" s="183"/>
      <c r="C4" s="183"/>
      <c r="D4" s="183"/>
    </row>
    <row r="5" spans="1:5" ht="77.25" customHeight="1" thickBot="1" x14ac:dyDescent="0.3">
      <c r="A5" s="237" t="s">
        <v>154</v>
      </c>
      <c r="B5" s="238"/>
      <c r="C5" s="238"/>
      <c r="D5" s="238"/>
    </row>
    <row r="6" spans="1:5" ht="5.25" customHeight="1" thickBot="1" x14ac:dyDescent="0.3">
      <c r="A6" s="37"/>
      <c r="B6" s="38"/>
      <c r="C6" s="38"/>
      <c r="D6" s="38"/>
    </row>
    <row r="7" spans="1:5" ht="20.25" customHeight="1" thickBot="1" x14ac:dyDescent="0.25">
      <c r="A7" s="239" t="s">
        <v>45</v>
      </c>
      <c r="B7" s="240"/>
      <c r="C7" s="240"/>
      <c r="D7" s="241"/>
    </row>
    <row r="8" spans="1:5" ht="15" customHeight="1" x14ac:dyDescent="0.25">
      <c r="A8" s="242" t="s">
        <v>31</v>
      </c>
      <c r="B8" s="226"/>
      <c r="C8" s="226"/>
      <c r="D8" s="243"/>
    </row>
    <row r="9" spans="1:5" ht="25.5" customHeight="1" x14ac:dyDescent="0.2">
      <c r="A9" s="42" t="s">
        <v>34</v>
      </c>
      <c r="B9" s="248" t="s">
        <v>41</v>
      </c>
      <c r="C9" s="249"/>
      <c r="D9" s="250"/>
    </row>
    <row r="10" spans="1:5" ht="30" customHeight="1" thickBot="1" x14ac:dyDescent="0.25">
      <c r="A10" s="35" t="s">
        <v>33</v>
      </c>
      <c r="B10" s="245" t="s">
        <v>155</v>
      </c>
      <c r="C10" s="246"/>
      <c r="D10" s="247"/>
    </row>
    <row r="11" spans="1:5" ht="11.25" customHeight="1" x14ac:dyDescent="0.2">
      <c r="A11" s="28"/>
      <c r="B11" s="15"/>
      <c r="C11" s="15"/>
      <c r="D11" s="15"/>
      <c r="E11" s="36"/>
    </row>
    <row r="12" spans="1:5" ht="60" customHeight="1" x14ac:dyDescent="0.2">
      <c r="A12" s="234" t="s">
        <v>156</v>
      </c>
      <c r="B12" s="235"/>
      <c r="C12" s="235"/>
      <c r="D12" s="235"/>
    </row>
    <row r="13" spans="1:5" ht="8.25" customHeight="1" thickBot="1" x14ac:dyDescent="0.25">
      <c r="A13" s="217"/>
      <c r="B13" s="200"/>
      <c r="C13" s="200"/>
      <c r="D13" s="200"/>
    </row>
    <row r="14" spans="1:5" ht="27.75" customHeight="1" x14ac:dyDescent="0.2">
      <c r="A14" s="6"/>
      <c r="B14" s="161" t="s">
        <v>42</v>
      </c>
      <c r="C14" s="161" t="s">
        <v>43</v>
      </c>
      <c r="D14" s="162" t="s">
        <v>44</v>
      </c>
    </row>
    <row r="15" spans="1:5" ht="27.75" customHeight="1" x14ac:dyDescent="0.2">
      <c r="A15" s="24" t="s">
        <v>33</v>
      </c>
      <c r="B15" s="4">
        <v>52</v>
      </c>
      <c r="C15" s="4">
        <v>52</v>
      </c>
      <c r="D15" s="7">
        <v>52</v>
      </c>
    </row>
    <row r="16" spans="1:5" ht="27.75" customHeight="1" x14ac:dyDescent="0.2">
      <c r="A16" s="24" t="s">
        <v>34</v>
      </c>
      <c r="B16" s="5">
        <v>11</v>
      </c>
      <c r="C16" s="5">
        <v>6</v>
      </c>
      <c r="D16" s="8">
        <v>2</v>
      </c>
    </row>
    <row r="17" spans="1:4" ht="27.75" customHeight="1" thickBot="1" x14ac:dyDescent="0.25">
      <c r="A17" s="150" t="s">
        <v>46</v>
      </c>
      <c r="B17" s="25">
        <f>B16*1000/B15</f>
        <v>211.53846153846155</v>
      </c>
      <c r="C17" s="25">
        <f t="shared" ref="C17:D17" si="0">C16*1000/C15</f>
        <v>115.38461538461539</v>
      </c>
      <c r="D17" s="26">
        <f t="shared" si="0"/>
        <v>38.46153846153846</v>
      </c>
    </row>
    <row r="18" spans="1:4" ht="27.75" customHeight="1" x14ac:dyDescent="0.2">
      <c r="A18" s="30"/>
      <c r="B18" s="29"/>
      <c r="C18" s="29"/>
      <c r="D18" s="29"/>
    </row>
    <row r="19" spans="1:4" ht="27.75" customHeight="1" x14ac:dyDescent="0.2">
      <c r="A19" s="30"/>
      <c r="B19" s="29"/>
      <c r="C19" s="29"/>
      <c r="D19" s="29"/>
    </row>
    <row r="20" spans="1:4" ht="19.5" customHeight="1" x14ac:dyDescent="0.2"/>
    <row r="21" spans="1:4" s="20" customFormat="1" ht="13.5" customHeight="1" x14ac:dyDescent="0.2">
      <c r="B21" s="32"/>
      <c r="C21" s="32"/>
      <c r="D21" s="32"/>
    </row>
    <row r="22" spans="1:4" s="20" customFormat="1" ht="13.5" customHeight="1" x14ac:dyDescent="0.2">
      <c r="A22" s="31"/>
      <c r="B22" s="33"/>
      <c r="C22" s="33"/>
      <c r="D22" s="33"/>
    </row>
    <row r="23" spans="1:4" s="20" customFormat="1" ht="13.5" customHeight="1" x14ac:dyDescent="0.2">
      <c r="A23" s="31"/>
      <c r="B23" s="33"/>
      <c r="C23" s="33"/>
      <c r="D23" s="33"/>
    </row>
    <row r="24" spans="1:4" s="20" customFormat="1" ht="13.5" customHeight="1" x14ac:dyDescent="0.2">
      <c r="A24" s="218"/>
      <c r="B24" s="218"/>
      <c r="C24" s="218"/>
      <c r="D24" s="218"/>
    </row>
    <row r="36" spans="1:4" ht="15" thickBot="1" x14ac:dyDescent="0.25"/>
    <row r="37" spans="1:4" s="20" customFormat="1" ht="13.5" customHeight="1" x14ac:dyDescent="0.2">
      <c r="A37" s="17"/>
      <c r="B37" s="18" t="s">
        <v>17</v>
      </c>
      <c r="C37" s="18" t="s">
        <v>18</v>
      </c>
      <c r="D37" s="19" t="s">
        <v>19</v>
      </c>
    </row>
    <row r="38" spans="1:4" s="20" customFormat="1" ht="13.5" customHeight="1" x14ac:dyDescent="0.2">
      <c r="A38" s="21" t="s">
        <v>15</v>
      </c>
      <c r="B38" s="22" t="s">
        <v>20</v>
      </c>
      <c r="C38" s="22" t="s">
        <v>20</v>
      </c>
      <c r="D38" s="23" t="s">
        <v>20</v>
      </c>
    </row>
    <row r="39" spans="1:4" s="20" customFormat="1" ht="13.5" customHeight="1" x14ac:dyDescent="0.2">
      <c r="A39" s="21" t="s">
        <v>16</v>
      </c>
      <c r="B39" s="22" t="s">
        <v>21</v>
      </c>
      <c r="C39" s="22" t="s">
        <v>22</v>
      </c>
      <c r="D39" s="23" t="s">
        <v>23</v>
      </c>
    </row>
    <row r="40" spans="1:4" s="20" customFormat="1" ht="13.5" customHeight="1" thickBot="1" x14ac:dyDescent="0.25">
      <c r="A40" s="219" t="s">
        <v>167</v>
      </c>
      <c r="B40" s="220"/>
      <c r="C40" s="220"/>
      <c r="D40" s="221"/>
    </row>
  </sheetData>
  <mergeCells count="13">
    <mergeCell ref="B1:C1"/>
    <mergeCell ref="A2:D2"/>
    <mergeCell ref="A3:D3"/>
    <mergeCell ref="A4:D4"/>
    <mergeCell ref="A5:D5"/>
    <mergeCell ref="A24:D24"/>
    <mergeCell ref="A40:D40"/>
    <mergeCell ref="A7:D7"/>
    <mergeCell ref="A8:D8"/>
    <mergeCell ref="B9:D9"/>
    <mergeCell ref="B10:D10"/>
    <mergeCell ref="A12:D12"/>
    <mergeCell ref="A13:D13"/>
  </mergeCells>
  <pageMargins left="0.70866141732283472" right="0.70866141732283472" top="0.78740157480314965" bottom="0.78740157480314965" header="0.31496062992125984" footer="0.31496062992125984"/>
  <pageSetup paperSize="9" scale="90" orientation="portrait" r:id="rId1"/>
  <headerFooter>
    <oddFooter>&amp;R&amp;P/&amp;N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4BF68-041D-43A6-9762-9EE30908F7A9}">
  <dimension ref="A1:D39"/>
  <sheetViews>
    <sheetView topLeftCell="A13" workbookViewId="0">
      <selection activeCell="G11" sqref="G11"/>
    </sheetView>
  </sheetViews>
  <sheetFormatPr baseColWidth="10" defaultColWidth="11" defaultRowHeight="14.25" x14ac:dyDescent="0.2"/>
  <cols>
    <col min="1" max="3" width="21" style="1" customWidth="1"/>
    <col min="4" max="4" width="25.5" style="1" customWidth="1"/>
    <col min="5" max="5" width="3.25" style="1" customWidth="1"/>
    <col min="6" max="9" width="11" style="1" customWidth="1"/>
    <col min="10" max="16384" width="11" style="1"/>
  </cols>
  <sheetData>
    <row r="1" spans="1:4" ht="39.75" customHeight="1" thickBot="1" x14ac:dyDescent="0.25">
      <c r="A1" s="16" t="s">
        <v>12</v>
      </c>
      <c r="B1" s="187" t="s">
        <v>13</v>
      </c>
      <c r="C1" s="188"/>
      <c r="D1" s="34" t="s">
        <v>30</v>
      </c>
    </row>
    <row r="2" spans="1:4" ht="12" customHeight="1" thickBot="1" x14ac:dyDescent="0.25">
      <c r="A2" s="236"/>
      <c r="B2" s="236"/>
      <c r="C2" s="236"/>
      <c r="D2" s="236"/>
    </row>
    <row r="3" spans="1:4" ht="36.75" customHeight="1" thickBot="1" x14ac:dyDescent="0.25">
      <c r="A3" s="251" t="s">
        <v>24</v>
      </c>
      <c r="B3" s="252"/>
      <c r="C3" s="252"/>
      <c r="D3" s="253"/>
    </row>
    <row r="4" spans="1:4" ht="5.25" customHeight="1" x14ac:dyDescent="0.25">
      <c r="A4" s="254"/>
      <c r="B4" s="255"/>
      <c r="C4" s="255"/>
      <c r="D4" s="255"/>
    </row>
    <row r="5" spans="1:4" ht="64.5" customHeight="1" x14ac:dyDescent="0.2">
      <c r="A5" s="212" t="s">
        <v>163</v>
      </c>
      <c r="B5" s="256"/>
      <c r="C5" s="256"/>
      <c r="D5" s="257"/>
    </row>
    <row r="6" spans="1:4" ht="5.25" customHeight="1" thickBot="1" x14ac:dyDescent="0.3">
      <c r="A6" s="52"/>
      <c r="B6" s="51"/>
      <c r="C6" s="51"/>
      <c r="D6" s="51"/>
    </row>
    <row r="7" spans="1:4" ht="20.25" customHeight="1" thickBot="1" x14ac:dyDescent="0.25">
      <c r="A7" s="251" t="s">
        <v>162</v>
      </c>
      <c r="B7" s="252"/>
      <c r="C7" s="252"/>
      <c r="D7" s="253"/>
    </row>
    <row r="8" spans="1:4" ht="15" customHeight="1" x14ac:dyDescent="0.25">
      <c r="A8" s="258" t="s">
        <v>31</v>
      </c>
      <c r="B8" s="259"/>
      <c r="C8" s="259"/>
      <c r="D8" s="260"/>
    </row>
    <row r="9" spans="1:4" ht="26.25" customHeight="1" x14ac:dyDescent="0.2">
      <c r="A9" s="106" t="s">
        <v>25</v>
      </c>
      <c r="B9" s="261" t="s">
        <v>47</v>
      </c>
      <c r="C9" s="262"/>
      <c r="D9" s="263"/>
    </row>
    <row r="10" spans="1:4" ht="39" customHeight="1" x14ac:dyDescent="0.2">
      <c r="A10" s="107" t="s">
        <v>26</v>
      </c>
      <c r="B10" s="264" t="s">
        <v>48</v>
      </c>
      <c r="C10" s="262"/>
      <c r="D10" s="263"/>
    </row>
    <row r="11" spans="1:4" ht="51" customHeight="1" thickBot="1" x14ac:dyDescent="0.25">
      <c r="A11" s="41" t="s">
        <v>29</v>
      </c>
      <c r="B11" s="265" t="s">
        <v>49</v>
      </c>
      <c r="C11" s="266"/>
      <c r="D11" s="267"/>
    </row>
    <row r="12" spans="1:4" ht="11.25" customHeight="1" x14ac:dyDescent="0.2">
      <c r="A12" s="28"/>
      <c r="B12" s="15"/>
      <c r="C12" s="15"/>
      <c r="D12" s="15"/>
    </row>
    <row r="13" spans="1:4" ht="58.5" customHeight="1" x14ac:dyDescent="0.2">
      <c r="A13" s="235" t="s">
        <v>164</v>
      </c>
      <c r="B13" s="235"/>
      <c r="C13" s="235"/>
      <c r="D13" s="235"/>
    </row>
    <row r="14" spans="1:4" ht="8.25" customHeight="1" thickBot="1" x14ac:dyDescent="0.25">
      <c r="A14" s="217"/>
      <c r="B14" s="200"/>
      <c r="C14" s="200"/>
      <c r="D14" s="200"/>
    </row>
    <row r="15" spans="1:4" ht="27.75" customHeight="1" x14ac:dyDescent="0.2">
      <c r="A15" s="6"/>
      <c r="B15" s="163" t="s">
        <v>8</v>
      </c>
      <c r="C15" s="163" t="s">
        <v>9</v>
      </c>
      <c r="D15" s="164" t="s">
        <v>27</v>
      </c>
    </row>
    <row r="16" spans="1:4" ht="27.75" customHeight="1" x14ac:dyDescent="0.2">
      <c r="A16" s="27" t="s">
        <v>29</v>
      </c>
      <c r="B16" s="4">
        <v>2100000</v>
      </c>
      <c r="C16" s="4">
        <v>2105000</v>
      </c>
      <c r="D16" s="7">
        <v>2100500</v>
      </c>
    </row>
    <row r="17" spans="1:4" ht="27.75" customHeight="1" x14ac:dyDescent="0.2">
      <c r="A17" s="24" t="s">
        <v>25</v>
      </c>
      <c r="B17" s="5">
        <v>2</v>
      </c>
      <c r="C17" s="5">
        <v>0</v>
      </c>
      <c r="D17" s="8">
        <v>0</v>
      </c>
    </row>
    <row r="18" spans="1:4" ht="27.75" customHeight="1" x14ac:dyDescent="0.2">
      <c r="A18" s="24" t="s">
        <v>26</v>
      </c>
      <c r="B18" s="5">
        <v>12</v>
      </c>
      <c r="C18" s="5">
        <v>12</v>
      </c>
      <c r="D18" s="8">
        <v>10</v>
      </c>
    </row>
    <row r="19" spans="1:4" ht="27.75" customHeight="1" thickBot="1" x14ac:dyDescent="0.25">
      <c r="A19" s="165" t="s">
        <v>28</v>
      </c>
      <c r="B19" s="25">
        <f>(B17+B18)*1000000/B16</f>
        <v>6.666666666666667</v>
      </c>
      <c r="C19" s="25">
        <f t="shared" ref="C19:D19" si="0">(C17+C18)*1000000/C16</f>
        <v>5.7007125890736345</v>
      </c>
      <c r="D19" s="25">
        <f t="shared" si="0"/>
        <v>4.7607712449416804</v>
      </c>
    </row>
    <row r="20" spans="1:4" ht="27.75" customHeight="1" x14ac:dyDescent="0.2">
      <c r="A20" s="30"/>
      <c r="B20" s="29"/>
      <c r="C20" s="29"/>
      <c r="D20" s="29"/>
    </row>
    <row r="21" spans="1:4" ht="27.75" customHeight="1" x14ac:dyDescent="0.2">
      <c r="A21" s="30"/>
      <c r="B21" s="29"/>
      <c r="C21" s="29"/>
      <c r="D21" s="29"/>
    </row>
    <row r="22" spans="1:4" ht="19.5" customHeight="1" x14ac:dyDescent="0.2"/>
    <row r="23" spans="1:4" s="20" customFormat="1" ht="13.5" customHeight="1" x14ac:dyDescent="0.2">
      <c r="B23" s="32"/>
      <c r="C23" s="32"/>
      <c r="D23" s="32"/>
    </row>
    <row r="24" spans="1:4" s="20" customFormat="1" ht="13.5" customHeight="1" x14ac:dyDescent="0.2">
      <c r="A24" s="31"/>
      <c r="B24" s="33"/>
      <c r="C24" s="33"/>
      <c r="D24" s="33"/>
    </row>
    <row r="25" spans="1:4" s="20" customFormat="1" ht="13.5" customHeight="1" x14ac:dyDescent="0.2">
      <c r="A25" s="31"/>
      <c r="B25" s="33"/>
      <c r="C25" s="33"/>
      <c r="D25" s="33"/>
    </row>
    <row r="26" spans="1:4" s="20" customFormat="1" ht="13.5" customHeight="1" x14ac:dyDescent="0.2">
      <c r="A26" s="218"/>
      <c r="B26" s="218"/>
      <c r="C26" s="218"/>
      <c r="D26" s="218"/>
    </row>
    <row r="35" spans="1:4" ht="15" thickBot="1" x14ac:dyDescent="0.25"/>
    <row r="36" spans="1:4" s="20" customFormat="1" ht="13.5" customHeight="1" x14ac:dyDescent="0.2">
      <c r="A36" s="17"/>
      <c r="B36" s="18" t="s">
        <v>17</v>
      </c>
      <c r="C36" s="18" t="s">
        <v>18</v>
      </c>
      <c r="D36" s="19" t="s">
        <v>19</v>
      </c>
    </row>
    <row r="37" spans="1:4" s="20" customFormat="1" ht="13.5" customHeight="1" x14ac:dyDescent="0.2">
      <c r="A37" s="21" t="s">
        <v>15</v>
      </c>
      <c r="B37" s="22" t="s">
        <v>20</v>
      </c>
      <c r="C37" s="22" t="s">
        <v>20</v>
      </c>
      <c r="D37" s="23" t="s">
        <v>20</v>
      </c>
    </row>
    <row r="38" spans="1:4" s="20" customFormat="1" ht="13.5" customHeight="1" x14ac:dyDescent="0.2">
      <c r="A38" s="21" t="s">
        <v>16</v>
      </c>
      <c r="B38" s="22" t="s">
        <v>21</v>
      </c>
      <c r="C38" s="22" t="s">
        <v>22</v>
      </c>
      <c r="D38" s="23" t="s">
        <v>23</v>
      </c>
    </row>
    <row r="39" spans="1:4" s="20" customFormat="1" ht="13.5" customHeight="1" thickBot="1" x14ac:dyDescent="0.25">
      <c r="A39" s="219" t="s">
        <v>167</v>
      </c>
      <c r="B39" s="220"/>
      <c r="C39" s="220"/>
      <c r="D39" s="221"/>
    </row>
  </sheetData>
  <mergeCells count="14">
    <mergeCell ref="A13:D13"/>
    <mergeCell ref="A14:D14"/>
    <mergeCell ref="A26:D26"/>
    <mergeCell ref="A39:D39"/>
    <mergeCell ref="A8:D8"/>
    <mergeCell ref="B9:D9"/>
    <mergeCell ref="B10:D10"/>
    <mergeCell ref="B11:D11"/>
    <mergeCell ref="A7:D7"/>
    <mergeCell ref="B1:C1"/>
    <mergeCell ref="A2:D2"/>
    <mergeCell ref="A3:D3"/>
    <mergeCell ref="A4:D4"/>
    <mergeCell ref="A5:D5"/>
  </mergeCells>
  <pageMargins left="0.70866141732283472" right="0.70866141732283472" top="0.78740157480314965" bottom="0.78740157480314965" header="0.31496062992125984" footer="0.31496062992125984"/>
  <pageSetup paperSize="9" scale="90" orientation="portrait" r:id="rId1"/>
  <headerFooter>
    <oddFooter>&amp;R&amp;P/&amp;N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81A26-454D-488A-AF06-C5B496040F20}">
  <dimension ref="A1:D43"/>
  <sheetViews>
    <sheetView topLeftCell="A17" workbookViewId="0">
      <selection activeCell="H35" sqref="H35"/>
    </sheetView>
  </sheetViews>
  <sheetFormatPr baseColWidth="10" defaultColWidth="11" defaultRowHeight="14.25" x14ac:dyDescent="0.2"/>
  <cols>
    <col min="1" max="3" width="21" style="1" customWidth="1"/>
    <col min="4" max="4" width="25.5" style="1" customWidth="1"/>
    <col min="5" max="5" width="3.25" style="1" customWidth="1"/>
    <col min="6" max="9" width="11" style="1" customWidth="1"/>
    <col min="10" max="16384" width="11" style="1"/>
  </cols>
  <sheetData>
    <row r="1" spans="1:4" ht="39.75" customHeight="1" thickBot="1" x14ac:dyDescent="0.25">
      <c r="A1" s="16" t="s">
        <v>12</v>
      </c>
      <c r="B1" s="187" t="s">
        <v>13</v>
      </c>
      <c r="C1" s="188"/>
      <c r="D1" s="34" t="s">
        <v>30</v>
      </c>
    </row>
    <row r="2" spans="1:4" ht="12" customHeight="1" thickBot="1" x14ac:dyDescent="0.25">
      <c r="A2" s="236"/>
      <c r="B2" s="236"/>
      <c r="C2" s="236"/>
      <c r="D2" s="236"/>
    </row>
    <row r="3" spans="1:4" ht="36.75" customHeight="1" thickBot="1" x14ac:dyDescent="0.25">
      <c r="A3" s="268" t="s">
        <v>56</v>
      </c>
      <c r="B3" s="269"/>
      <c r="C3" s="269"/>
      <c r="D3" s="270"/>
    </row>
    <row r="4" spans="1:4" ht="5.25" customHeight="1" x14ac:dyDescent="0.25">
      <c r="A4" s="254"/>
      <c r="B4" s="255"/>
      <c r="C4" s="255"/>
      <c r="D4" s="255"/>
    </row>
    <row r="5" spans="1:4" ht="64.5" customHeight="1" x14ac:dyDescent="0.2">
      <c r="A5" s="212" t="s">
        <v>139</v>
      </c>
      <c r="B5" s="256"/>
      <c r="C5" s="256"/>
      <c r="D5" s="257"/>
    </row>
    <row r="6" spans="1:4" ht="5.25" customHeight="1" thickBot="1" x14ac:dyDescent="0.3">
      <c r="A6" s="52"/>
      <c r="B6" s="51"/>
      <c r="C6" s="51"/>
      <c r="D6" s="51"/>
    </row>
    <row r="7" spans="1:4" ht="20.25" customHeight="1" thickBot="1" x14ac:dyDescent="0.25">
      <c r="A7" s="268" t="s">
        <v>53</v>
      </c>
      <c r="B7" s="269"/>
      <c r="C7" s="269"/>
      <c r="D7" s="270"/>
    </row>
    <row r="8" spans="1:4" ht="15" customHeight="1" x14ac:dyDescent="0.25">
      <c r="A8" s="258" t="s">
        <v>31</v>
      </c>
      <c r="B8" s="259"/>
      <c r="C8" s="259"/>
      <c r="D8" s="260"/>
    </row>
    <row r="9" spans="1:4" ht="26.25" customHeight="1" x14ac:dyDescent="0.2">
      <c r="A9" s="106" t="s">
        <v>25</v>
      </c>
      <c r="B9" s="261" t="s">
        <v>47</v>
      </c>
      <c r="C9" s="262"/>
      <c r="D9" s="263"/>
    </row>
    <row r="10" spans="1:4" ht="39" customHeight="1" x14ac:dyDescent="0.2">
      <c r="A10" s="107" t="s">
        <v>26</v>
      </c>
      <c r="B10" s="264" t="s">
        <v>48</v>
      </c>
      <c r="C10" s="262"/>
      <c r="D10" s="263"/>
    </row>
    <row r="11" spans="1:4" ht="48" customHeight="1" x14ac:dyDescent="0.2">
      <c r="A11" s="107" t="s">
        <v>50</v>
      </c>
      <c r="B11" s="271" t="s">
        <v>52</v>
      </c>
      <c r="C11" s="271"/>
      <c r="D11" s="272"/>
    </row>
    <row r="12" spans="1:4" ht="87.75" customHeight="1" x14ac:dyDescent="0.2">
      <c r="A12" s="107" t="s">
        <v>51</v>
      </c>
      <c r="B12" s="271" t="s">
        <v>55</v>
      </c>
      <c r="C12" s="271"/>
      <c r="D12" s="272"/>
    </row>
    <row r="13" spans="1:4" ht="51" customHeight="1" thickBot="1" x14ac:dyDescent="0.25">
      <c r="A13" s="41" t="s">
        <v>29</v>
      </c>
      <c r="B13" s="265" t="s">
        <v>49</v>
      </c>
      <c r="C13" s="266"/>
      <c r="D13" s="267"/>
    </row>
    <row r="14" spans="1:4" ht="11.25" customHeight="1" x14ac:dyDescent="0.2">
      <c r="A14" s="28"/>
      <c r="B14" s="15"/>
      <c r="C14" s="15"/>
      <c r="D14" s="15"/>
    </row>
    <row r="15" spans="1:4" ht="58.5" customHeight="1" x14ac:dyDescent="0.2">
      <c r="A15" s="234" t="s">
        <v>138</v>
      </c>
      <c r="B15" s="235"/>
      <c r="C15" s="235"/>
      <c r="D15" s="235"/>
    </row>
    <row r="16" spans="1:4" ht="8.25" customHeight="1" thickBot="1" x14ac:dyDescent="0.25">
      <c r="A16" s="217"/>
      <c r="B16" s="200"/>
      <c r="C16" s="200"/>
      <c r="D16" s="200"/>
    </row>
    <row r="17" spans="1:4" ht="27.75" customHeight="1" x14ac:dyDescent="0.2">
      <c r="A17" s="6"/>
      <c r="B17" s="43" t="s">
        <v>8</v>
      </c>
      <c r="C17" s="43" t="s">
        <v>9</v>
      </c>
      <c r="D17" s="44" t="s">
        <v>27</v>
      </c>
    </row>
    <row r="18" spans="1:4" ht="27.75" customHeight="1" x14ac:dyDescent="0.2">
      <c r="A18" s="27" t="s">
        <v>29</v>
      </c>
      <c r="B18" s="4">
        <v>2100000</v>
      </c>
      <c r="C18" s="4">
        <v>2105000</v>
      </c>
      <c r="D18" s="7">
        <v>2100500</v>
      </c>
    </row>
    <row r="19" spans="1:4" ht="27.75" customHeight="1" x14ac:dyDescent="0.2">
      <c r="A19" s="24" t="s">
        <v>25</v>
      </c>
      <c r="B19" s="5">
        <v>2</v>
      </c>
      <c r="C19" s="5">
        <v>0</v>
      </c>
      <c r="D19" s="8">
        <v>0</v>
      </c>
    </row>
    <row r="20" spans="1:4" ht="27.75" customHeight="1" x14ac:dyDescent="0.2">
      <c r="A20" s="24" t="s">
        <v>26</v>
      </c>
      <c r="B20" s="5">
        <v>12</v>
      </c>
      <c r="C20" s="5">
        <v>12</v>
      </c>
      <c r="D20" s="8">
        <v>10</v>
      </c>
    </row>
    <row r="21" spans="1:4" ht="27.75" customHeight="1" x14ac:dyDescent="0.2">
      <c r="A21" s="24" t="s">
        <v>50</v>
      </c>
      <c r="B21" s="5">
        <v>9</v>
      </c>
      <c r="C21" s="5">
        <v>8</v>
      </c>
      <c r="D21" s="8">
        <v>5</v>
      </c>
    </row>
    <row r="22" spans="1:4" ht="27.75" customHeight="1" x14ac:dyDescent="0.2">
      <c r="A22" s="24" t="s">
        <v>51</v>
      </c>
      <c r="B22" s="5">
        <v>1</v>
      </c>
      <c r="C22" s="5">
        <v>1</v>
      </c>
      <c r="D22" s="8">
        <v>2</v>
      </c>
    </row>
    <row r="23" spans="1:4" ht="27.75" customHeight="1" thickBot="1" x14ac:dyDescent="0.25">
      <c r="A23" s="45" t="s">
        <v>54</v>
      </c>
      <c r="B23" s="25">
        <f>(B19+B20+B21+B22)*1000000/B18</f>
        <v>11.428571428571429</v>
      </c>
      <c r="C23" s="25">
        <f>(C19+C20+C21+C22)*1000000/C18</f>
        <v>9.9762470308788593</v>
      </c>
      <c r="D23" s="26">
        <f>(D19+D20+D21+D22)*1000000/D18</f>
        <v>8.0933111164008569</v>
      </c>
    </row>
    <row r="24" spans="1:4" ht="27.75" customHeight="1" x14ac:dyDescent="0.2">
      <c r="A24" s="30"/>
      <c r="B24" s="29"/>
      <c r="C24" s="29"/>
      <c r="D24" s="29"/>
    </row>
    <row r="25" spans="1:4" ht="27.75" customHeight="1" x14ac:dyDescent="0.2">
      <c r="A25" s="30"/>
      <c r="B25" s="29"/>
      <c r="C25" s="29"/>
      <c r="D25" s="29"/>
    </row>
    <row r="26" spans="1:4" ht="19.5" customHeight="1" x14ac:dyDescent="0.2"/>
    <row r="27" spans="1:4" s="20" customFormat="1" ht="13.5" customHeight="1" x14ac:dyDescent="0.2">
      <c r="B27" s="32"/>
      <c r="C27" s="32"/>
      <c r="D27" s="32"/>
    </row>
    <row r="28" spans="1:4" s="20" customFormat="1" ht="13.5" customHeight="1" x14ac:dyDescent="0.2">
      <c r="A28" s="31"/>
      <c r="B28" s="33"/>
      <c r="C28" s="33"/>
      <c r="D28" s="33"/>
    </row>
    <row r="29" spans="1:4" s="20" customFormat="1" ht="13.5" customHeight="1" x14ac:dyDescent="0.2">
      <c r="A29" s="31"/>
      <c r="B29" s="33"/>
      <c r="C29" s="33"/>
      <c r="D29" s="33"/>
    </row>
    <row r="30" spans="1:4" s="20" customFormat="1" ht="13.5" customHeight="1" x14ac:dyDescent="0.2">
      <c r="A30" s="218"/>
      <c r="B30" s="218"/>
      <c r="C30" s="218"/>
      <c r="D30" s="218"/>
    </row>
    <row r="39" spans="1:4" ht="15" thickBot="1" x14ac:dyDescent="0.25"/>
    <row r="40" spans="1:4" s="20" customFormat="1" ht="13.5" customHeight="1" x14ac:dyDescent="0.2">
      <c r="A40" s="17"/>
      <c r="B40" s="18" t="s">
        <v>17</v>
      </c>
      <c r="C40" s="18" t="s">
        <v>18</v>
      </c>
      <c r="D40" s="19" t="s">
        <v>19</v>
      </c>
    </row>
    <row r="41" spans="1:4" s="20" customFormat="1" ht="13.5" customHeight="1" x14ac:dyDescent="0.2">
      <c r="A41" s="21" t="s">
        <v>15</v>
      </c>
      <c r="B41" s="22" t="s">
        <v>20</v>
      </c>
      <c r="C41" s="22" t="s">
        <v>20</v>
      </c>
      <c r="D41" s="23" t="s">
        <v>20</v>
      </c>
    </row>
    <row r="42" spans="1:4" s="20" customFormat="1" ht="13.5" customHeight="1" x14ac:dyDescent="0.2">
      <c r="A42" s="21" t="s">
        <v>16</v>
      </c>
      <c r="B42" s="22" t="s">
        <v>21</v>
      </c>
      <c r="C42" s="22" t="s">
        <v>22</v>
      </c>
      <c r="D42" s="23" t="s">
        <v>23</v>
      </c>
    </row>
    <row r="43" spans="1:4" s="20" customFormat="1" ht="13.5" customHeight="1" thickBot="1" x14ac:dyDescent="0.25">
      <c r="A43" s="219" t="s">
        <v>167</v>
      </c>
      <c r="B43" s="220"/>
      <c r="C43" s="220"/>
      <c r="D43" s="221"/>
    </row>
  </sheetData>
  <mergeCells count="16">
    <mergeCell ref="A30:D30"/>
    <mergeCell ref="A43:D43"/>
    <mergeCell ref="B11:D11"/>
    <mergeCell ref="B12:D12"/>
    <mergeCell ref="A8:D8"/>
    <mergeCell ref="B9:D9"/>
    <mergeCell ref="B10:D10"/>
    <mergeCell ref="B13:D13"/>
    <mergeCell ref="A15:D15"/>
    <mergeCell ref="A16:D16"/>
    <mergeCell ref="A7:D7"/>
    <mergeCell ref="B1:C1"/>
    <mergeCell ref="A2:D2"/>
    <mergeCell ref="A3:D3"/>
    <mergeCell ref="A4:D4"/>
    <mergeCell ref="A5:D5"/>
  </mergeCells>
  <pageMargins left="0.70866141732283472" right="0.70866141732283472" top="0.78740157480314965" bottom="0.78740157480314965" header="0.31496062992125984" footer="0.31496062992125984"/>
  <pageSetup paperSize="9" scale="90" orientation="portrait" r:id="rId1"/>
  <headerFooter>
    <oddFooter>&amp;R&amp;P/&amp;N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F8949-C8A9-4BCF-A28D-6D834DE00BC1}">
  <dimension ref="A1:I42"/>
  <sheetViews>
    <sheetView topLeftCell="A17" workbookViewId="0">
      <selection activeCell="A12" sqref="A12:D12"/>
    </sheetView>
  </sheetViews>
  <sheetFormatPr baseColWidth="10" defaultColWidth="11" defaultRowHeight="14.25" x14ac:dyDescent="0.2"/>
  <cols>
    <col min="1" max="1" width="15" style="1" customWidth="1"/>
    <col min="2" max="2" width="44.75" style="1" customWidth="1"/>
    <col min="3" max="3" width="17.25" style="1" customWidth="1"/>
    <col min="4" max="4" width="17.875" style="1" customWidth="1"/>
    <col min="5" max="5" width="2" style="1" customWidth="1"/>
    <col min="6" max="6" width="20" style="1" customWidth="1"/>
    <col min="7" max="7" width="38.125" style="1" customWidth="1"/>
    <col min="8" max="8" width="17.75" style="1" customWidth="1"/>
    <col min="9" max="9" width="16.375" style="1" customWidth="1"/>
    <col min="10" max="10" width="1.625" style="1" customWidth="1"/>
    <col min="11" max="16384" width="11" style="1"/>
  </cols>
  <sheetData>
    <row r="1" spans="1:9" ht="35.25" customHeight="1" thickBot="1" x14ac:dyDescent="0.25">
      <c r="A1" s="16" t="s">
        <v>12</v>
      </c>
      <c r="B1" s="187" t="s">
        <v>13</v>
      </c>
      <c r="C1" s="188"/>
      <c r="D1" s="62" t="s">
        <v>107</v>
      </c>
      <c r="F1" s="16" t="s">
        <v>12</v>
      </c>
      <c r="G1" s="187" t="s">
        <v>13</v>
      </c>
      <c r="H1" s="188"/>
      <c r="I1" s="62" t="s">
        <v>107</v>
      </c>
    </row>
    <row r="2" spans="1:9" ht="5.25" customHeight="1" thickBot="1" x14ac:dyDescent="0.25">
      <c r="A2" s="290"/>
      <c r="B2" s="236"/>
      <c r="C2" s="236"/>
      <c r="D2" s="291"/>
      <c r="F2" s="290"/>
      <c r="G2" s="236"/>
      <c r="H2" s="236"/>
      <c r="I2" s="291"/>
    </row>
    <row r="3" spans="1:9" ht="31.5" customHeight="1" thickBot="1" x14ac:dyDescent="0.25">
      <c r="A3" s="285" t="s">
        <v>117</v>
      </c>
      <c r="B3" s="286"/>
      <c r="C3" s="286"/>
      <c r="D3" s="287"/>
      <c r="F3" s="277" t="s">
        <v>116</v>
      </c>
      <c r="G3" s="278"/>
      <c r="H3" s="278"/>
      <c r="I3" s="279"/>
    </row>
    <row r="4" spans="1:9" ht="5.25" customHeight="1" thickBot="1" x14ac:dyDescent="0.3">
      <c r="A4" s="182"/>
      <c r="B4" s="183"/>
      <c r="C4" s="183"/>
      <c r="D4" s="276"/>
      <c r="F4" s="182"/>
      <c r="G4" s="183"/>
      <c r="H4" s="183"/>
      <c r="I4" s="276"/>
    </row>
    <row r="5" spans="1:9" ht="45" customHeight="1" thickBot="1" x14ac:dyDescent="0.3">
      <c r="A5" s="237" t="s">
        <v>106</v>
      </c>
      <c r="B5" s="238"/>
      <c r="C5" s="238"/>
      <c r="D5" s="294"/>
      <c r="F5" s="237" t="s">
        <v>105</v>
      </c>
      <c r="G5" s="292"/>
      <c r="H5" s="292"/>
      <c r="I5" s="293"/>
    </row>
    <row r="6" spans="1:9" ht="5.25" customHeight="1" thickBot="1" x14ac:dyDescent="0.3">
      <c r="A6" s="182"/>
      <c r="B6" s="183"/>
      <c r="C6" s="183"/>
      <c r="D6" s="276"/>
      <c r="F6" s="182"/>
      <c r="G6" s="183"/>
      <c r="H6" s="183"/>
      <c r="I6" s="276"/>
    </row>
    <row r="7" spans="1:9" ht="20.25" customHeight="1" thickBot="1" x14ac:dyDescent="0.25">
      <c r="A7" s="285" t="s">
        <v>62</v>
      </c>
      <c r="B7" s="286"/>
      <c r="C7" s="286"/>
      <c r="D7" s="287"/>
      <c r="F7" s="277" t="s">
        <v>108</v>
      </c>
      <c r="G7" s="278"/>
      <c r="H7" s="278"/>
      <c r="I7" s="279"/>
    </row>
    <row r="8" spans="1:9" ht="15" customHeight="1" x14ac:dyDescent="0.25">
      <c r="A8" s="242" t="s">
        <v>31</v>
      </c>
      <c r="B8" s="226"/>
      <c r="C8" s="226"/>
      <c r="D8" s="243"/>
      <c r="F8" s="242" t="s">
        <v>31</v>
      </c>
      <c r="G8" s="226"/>
      <c r="H8" s="226"/>
      <c r="I8" s="243"/>
    </row>
    <row r="9" spans="1:9" ht="29.25" customHeight="1" x14ac:dyDescent="0.2">
      <c r="A9" s="42" t="s">
        <v>63</v>
      </c>
      <c r="B9" s="228" t="s">
        <v>93</v>
      </c>
      <c r="C9" s="229"/>
      <c r="D9" s="244"/>
      <c r="F9" s="61" t="s">
        <v>119</v>
      </c>
      <c r="G9" s="228" t="s">
        <v>93</v>
      </c>
      <c r="H9" s="229"/>
      <c r="I9" s="244"/>
    </row>
    <row r="10" spans="1:9" ht="28.5" customHeight="1" thickBot="1" x14ac:dyDescent="0.25">
      <c r="A10" s="105" t="s">
        <v>33</v>
      </c>
      <c r="B10" s="280" t="s">
        <v>157</v>
      </c>
      <c r="C10" s="281"/>
      <c r="D10" s="282"/>
      <c r="F10" s="105" t="s">
        <v>33</v>
      </c>
      <c r="G10" s="280" t="s">
        <v>158</v>
      </c>
      <c r="H10" s="281"/>
      <c r="I10" s="282"/>
    </row>
    <row r="11" spans="1:9" ht="6" customHeight="1" x14ac:dyDescent="0.2">
      <c r="A11" s="93"/>
      <c r="B11" s="15"/>
      <c r="C11" s="15"/>
      <c r="D11" s="94"/>
      <c r="E11" s="36"/>
      <c r="F11" s="93"/>
      <c r="G11" s="15"/>
      <c r="H11" s="15"/>
      <c r="I11" s="94"/>
    </row>
    <row r="12" spans="1:9" ht="56.25" customHeight="1" x14ac:dyDescent="0.2">
      <c r="A12" s="283" t="s">
        <v>134</v>
      </c>
      <c r="B12" s="288"/>
      <c r="C12" s="288"/>
      <c r="D12" s="289"/>
      <c r="F12" s="283" t="s">
        <v>135</v>
      </c>
      <c r="G12" s="235"/>
      <c r="H12" s="235"/>
      <c r="I12" s="284"/>
    </row>
    <row r="13" spans="1:9" ht="5.25" customHeight="1" thickBot="1" x14ac:dyDescent="0.25">
      <c r="A13" s="199"/>
      <c r="B13" s="200"/>
      <c r="C13" s="200"/>
      <c r="D13" s="273"/>
      <c r="F13" s="199"/>
      <c r="G13" s="200"/>
      <c r="H13" s="200"/>
      <c r="I13" s="273"/>
    </row>
    <row r="14" spans="1:9" ht="23.25" customHeight="1" thickBot="1" x14ac:dyDescent="0.25">
      <c r="A14" s="103" t="s">
        <v>33</v>
      </c>
      <c r="B14" s="104">
        <v>200</v>
      </c>
      <c r="C14" s="55"/>
      <c r="D14" s="7"/>
      <c r="F14" s="103" t="s">
        <v>33</v>
      </c>
      <c r="G14" s="104">
        <v>100</v>
      </c>
      <c r="H14" s="55"/>
      <c r="I14" s="7"/>
    </row>
    <row r="15" spans="1:9" s="59" customFormat="1" ht="23.25" customHeight="1" thickBot="1" x14ac:dyDescent="0.25">
      <c r="A15" s="75"/>
      <c r="B15" s="76" t="s">
        <v>79</v>
      </c>
      <c r="C15" s="76" t="s">
        <v>74</v>
      </c>
      <c r="D15" s="77" t="s">
        <v>75</v>
      </c>
      <c r="F15" s="78"/>
      <c r="G15" s="79" t="s">
        <v>92</v>
      </c>
      <c r="H15" s="80" t="s">
        <v>74</v>
      </c>
      <c r="I15" s="81" t="s">
        <v>109</v>
      </c>
    </row>
    <row r="16" spans="1:9" ht="29.25" customHeight="1" x14ac:dyDescent="0.2">
      <c r="A16" s="63" t="s">
        <v>64</v>
      </c>
      <c r="B16" s="82" t="s">
        <v>82</v>
      </c>
      <c r="C16" s="56">
        <v>5</v>
      </c>
      <c r="D16" s="67">
        <f>C16*1000/$B$14</f>
        <v>25</v>
      </c>
      <c r="F16" s="70" t="s">
        <v>83</v>
      </c>
      <c r="G16" s="88" t="s">
        <v>110</v>
      </c>
      <c r="H16" s="57">
        <v>20</v>
      </c>
      <c r="I16" s="72">
        <f>H16*1000/$B$14</f>
        <v>100</v>
      </c>
    </row>
    <row r="17" spans="1:9" ht="29.25" customHeight="1" x14ac:dyDescent="0.2">
      <c r="A17" s="64" t="s">
        <v>65</v>
      </c>
      <c r="B17" s="83" t="s">
        <v>80</v>
      </c>
      <c r="C17" s="4">
        <v>40</v>
      </c>
      <c r="D17" s="68">
        <f t="shared" ref="D17:D25" si="0">C17*1000/$B$14</f>
        <v>200</v>
      </c>
      <c r="F17" s="70" t="s">
        <v>84</v>
      </c>
      <c r="G17" s="89" t="s">
        <v>111</v>
      </c>
      <c r="H17" s="55">
        <v>40</v>
      </c>
      <c r="I17" s="73">
        <f t="shared" ref="I17:I23" si="1">H17*1000/$B$14</f>
        <v>200</v>
      </c>
    </row>
    <row r="18" spans="1:9" ht="29.25" customHeight="1" x14ac:dyDescent="0.2">
      <c r="A18" s="64" t="s">
        <v>66</v>
      </c>
      <c r="B18" s="83" t="s">
        <v>81</v>
      </c>
      <c r="C18" s="4">
        <v>35</v>
      </c>
      <c r="D18" s="68">
        <f t="shared" si="0"/>
        <v>175</v>
      </c>
      <c r="F18" s="70" t="s">
        <v>85</v>
      </c>
      <c r="G18" s="89" t="s">
        <v>112</v>
      </c>
      <c r="H18" s="55">
        <v>50</v>
      </c>
      <c r="I18" s="73">
        <f t="shared" si="1"/>
        <v>250</v>
      </c>
    </row>
    <row r="19" spans="1:9" ht="29.25" customHeight="1" x14ac:dyDescent="0.2">
      <c r="A19" s="64" t="s">
        <v>67</v>
      </c>
      <c r="B19" s="83" t="s">
        <v>104</v>
      </c>
      <c r="C19" s="4">
        <v>30</v>
      </c>
      <c r="D19" s="68">
        <f t="shared" si="0"/>
        <v>150</v>
      </c>
      <c r="F19" s="70" t="s">
        <v>86</v>
      </c>
      <c r="G19" s="89" t="s">
        <v>113</v>
      </c>
      <c r="H19" s="55">
        <v>30</v>
      </c>
      <c r="I19" s="73">
        <f t="shared" si="1"/>
        <v>150</v>
      </c>
    </row>
    <row r="20" spans="1:9" ht="29.25" customHeight="1" x14ac:dyDescent="0.2">
      <c r="A20" s="64" t="s">
        <v>68</v>
      </c>
      <c r="B20" s="84" t="s">
        <v>76</v>
      </c>
      <c r="C20" s="4">
        <v>5</v>
      </c>
      <c r="D20" s="68">
        <f t="shared" si="0"/>
        <v>25</v>
      </c>
      <c r="F20" s="70" t="s">
        <v>87</v>
      </c>
      <c r="G20" s="90" t="s">
        <v>114</v>
      </c>
      <c r="H20" s="55">
        <v>20</v>
      </c>
      <c r="I20" s="73">
        <f t="shared" si="1"/>
        <v>100</v>
      </c>
    </row>
    <row r="21" spans="1:9" ht="29.25" customHeight="1" x14ac:dyDescent="0.2">
      <c r="A21" s="64" t="s">
        <v>69</v>
      </c>
      <c r="B21" s="85" t="s">
        <v>77</v>
      </c>
      <c r="C21" s="5">
        <v>20</v>
      </c>
      <c r="D21" s="68">
        <f t="shared" si="0"/>
        <v>100</v>
      </c>
      <c r="F21" s="70" t="s">
        <v>88</v>
      </c>
      <c r="G21" s="90" t="s">
        <v>115</v>
      </c>
      <c r="H21" s="50">
        <v>30</v>
      </c>
      <c r="I21" s="73">
        <f t="shared" si="1"/>
        <v>150</v>
      </c>
    </row>
    <row r="22" spans="1:9" ht="29.25" customHeight="1" x14ac:dyDescent="0.2">
      <c r="A22" s="64" t="s">
        <v>70</v>
      </c>
      <c r="B22" s="85" t="s">
        <v>78</v>
      </c>
      <c r="C22" s="5">
        <v>25</v>
      </c>
      <c r="D22" s="68">
        <f t="shared" si="0"/>
        <v>125</v>
      </c>
      <c r="F22" s="70" t="s">
        <v>89</v>
      </c>
      <c r="G22" s="91" t="s">
        <v>91</v>
      </c>
      <c r="H22" s="50">
        <v>5</v>
      </c>
      <c r="I22" s="73">
        <f t="shared" si="1"/>
        <v>25</v>
      </c>
    </row>
    <row r="23" spans="1:9" ht="29.25" customHeight="1" thickBot="1" x14ac:dyDescent="0.25">
      <c r="A23" s="64" t="s">
        <v>71</v>
      </c>
      <c r="B23" s="86" t="s">
        <v>102</v>
      </c>
      <c r="C23" s="53">
        <v>5</v>
      </c>
      <c r="D23" s="68">
        <f t="shared" si="0"/>
        <v>25</v>
      </c>
      <c r="F23" s="71" t="s">
        <v>90</v>
      </c>
      <c r="G23" s="92" t="s">
        <v>61</v>
      </c>
      <c r="H23" s="58">
        <v>5</v>
      </c>
      <c r="I23" s="74">
        <f t="shared" si="1"/>
        <v>25</v>
      </c>
    </row>
    <row r="24" spans="1:9" ht="29.25" customHeight="1" x14ac:dyDescent="0.2">
      <c r="A24" s="65" t="s">
        <v>72</v>
      </c>
      <c r="B24" s="86" t="s">
        <v>103</v>
      </c>
      <c r="C24" s="53">
        <v>15</v>
      </c>
      <c r="D24" s="68">
        <f t="shared" si="0"/>
        <v>75</v>
      </c>
      <c r="F24" s="95"/>
      <c r="G24" s="29"/>
      <c r="H24" s="29"/>
      <c r="I24" s="96"/>
    </row>
    <row r="25" spans="1:9" ht="29.25" customHeight="1" thickBot="1" x14ac:dyDescent="0.25">
      <c r="A25" s="66" t="s">
        <v>73</v>
      </c>
      <c r="B25" s="87" t="s">
        <v>118</v>
      </c>
      <c r="C25" s="54">
        <v>5</v>
      </c>
      <c r="D25" s="69">
        <f t="shared" si="0"/>
        <v>25</v>
      </c>
      <c r="F25" s="95"/>
      <c r="G25" s="29"/>
      <c r="H25" s="29"/>
      <c r="I25" s="96"/>
    </row>
    <row r="26" spans="1:9" ht="27.75" customHeight="1" x14ac:dyDescent="0.2">
      <c r="A26" s="95"/>
      <c r="B26" s="29"/>
      <c r="C26" s="29"/>
      <c r="D26" s="96"/>
      <c r="F26" s="97"/>
      <c r="I26" s="98"/>
    </row>
    <row r="27" spans="1:9" ht="27.75" customHeight="1" x14ac:dyDescent="0.2">
      <c r="A27" s="95"/>
      <c r="B27" s="29"/>
      <c r="C27" s="29"/>
      <c r="D27" s="96"/>
      <c r="F27" s="99"/>
      <c r="G27" s="32"/>
      <c r="H27" s="32"/>
      <c r="I27" s="100"/>
    </row>
    <row r="28" spans="1:9" ht="19.5" customHeight="1" x14ac:dyDescent="0.2">
      <c r="A28" s="97"/>
      <c r="D28" s="98"/>
      <c r="F28" s="101"/>
      <c r="G28" s="33"/>
      <c r="H28" s="33"/>
      <c r="I28" s="102"/>
    </row>
    <row r="29" spans="1:9" s="20" customFormat="1" ht="13.5" customHeight="1" x14ac:dyDescent="0.2">
      <c r="A29" s="99"/>
      <c r="B29" s="32"/>
      <c r="C29" s="32"/>
      <c r="D29" s="100"/>
      <c r="F29" s="101"/>
      <c r="G29" s="33"/>
      <c r="H29" s="33"/>
      <c r="I29" s="102"/>
    </row>
    <row r="30" spans="1:9" s="20" customFormat="1" ht="13.5" customHeight="1" x14ac:dyDescent="0.2">
      <c r="A30" s="101"/>
      <c r="B30" s="33"/>
      <c r="C30" s="33"/>
      <c r="D30" s="102"/>
      <c r="F30" s="274"/>
      <c r="G30" s="218"/>
      <c r="H30" s="218"/>
      <c r="I30" s="275"/>
    </row>
    <row r="31" spans="1:9" s="20" customFormat="1" ht="13.5" customHeight="1" x14ac:dyDescent="0.2">
      <c r="A31" s="101"/>
      <c r="B31" s="33"/>
      <c r="C31" s="33"/>
      <c r="D31" s="102"/>
      <c r="F31" s="97"/>
      <c r="G31" s="1"/>
      <c r="H31" s="1"/>
      <c r="I31" s="98"/>
    </row>
    <row r="32" spans="1:9" s="20" customFormat="1" ht="13.5" customHeight="1" x14ac:dyDescent="0.2">
      <c r="A32" s="274"/>
      <c r="B32" s="218"/>
      <c r="C32" s="218"/>
      <c r="D32" s="275"/>
      <c r="F32" s="97"/>
      <c r="G32" s="1"/>
      <c r="H32" s="1"/>
      <c r="I32" s="98"/>
    </row>
    <row r="33" spans="1:9" x14ac:dyDescent="0.2">
      <c r="A33" s="97"/>
      <c r="D33" s="98"/>
      <c r="F33" s="97"/>
      <c r="I33" s="98"/>
    </row>
    <row r="34" spans="1:9" x14ac:dyDescent="0.2">
      <c r="A34" s="97"/>
      <c r="D34" s="98"/>
      <c r="F34" s="97"/>
      <c r="I34" s="98"/>
    </row>
    <row r="35" spans="1:9" x14ac:dyDescent="0.2">
      <c r="A35" s="97"/>
      <c r="D35" s="98"/>
      <c r="F35" s="97"/>
      <c r="I35" s="98"/>
    </row>
    <row r="36" spans="1:9" x14ac:dyDescent="0.2">
      <c r="A36" s="97"/>
      <c r="D36" s="98"/>
      <c r="F36" s="97"/>
      <c r="I36" s="98"/>
    </row>
    <row r="37" spans="1:9" x14ac:dyDescent="0.2">
      <c r="A37" s="97"/>
      <c r="D37" s="98"/>
      <c r="F37" s="97"/>
      <c r="I37" s="98"/>
    </row>
    <row r="38" spans="1:9" ht="15" thickBot="1" x14ac:dyDescent="0.25">
      <c r="A38" s="97"/>
      <c r="D38" s="98"/>
      <c r="F38" s="97"/>
      <c r="I38" s="98"/>
    </row>
    <row r="39" spans="1:9" x14ac:dyDescent="0.2">
      <c r="A39" s="17"/>
      <c r="B39" s="18" t="s">
        <v>17</v>
      </c>
      <c r="C39" s="18" t="s">
        <v>18</v>
      </c>
      <c r="D39" s="19" t="s">
        <v>19</v>
      </c>
      <c r="F39" s="17"/>
      <c r="G39" s="18" t="s">
        <v>17</v>
      </c>
      <c r="H39" s="18" t="s">
        <v>18</v>
      </c>
      <c r="I39" s="19" t="s">
        <v>19</v>
      </c>
    </row>
    <row r="40" spans="1:9" x14ac:dyDescent="0.2">
      <c r="A40" s="21" t="s">
        <v>15</v>
      </c>
      <c r="B40" s="22" t="s">
        <v>20</v>
      </c>
      <c r="C40" s="22" t="s">
        <v>20</v>
      </c>
      <c r="D40" s="23" t="s">
        <v>20</v>
      </c>
      <c r="F40" s="21" t="s">
        <v>15</v>
      </c>
      <c r="G40" s="22" t="s">
        <v>20</v>
      </c>
      <c r="H40" s="22" t="s">
        <v>20</v>
      </c>
      <c r="I40" s="23" t="s">
        <v>20</v>
      </c>
    </row>
    <row r="41" spans="1:9" s="20" customFormat="1" ht="13.5" customHeight="1" x14ac:dyDescent="0.2">
      <c r="A41" s="21" t="s">
        <v>16</v>
      </c>
      <c r="B41" s="22" t="s">
        <v>21</v>
      </c>
      <c r="C41" s="22" t="s">
        <v>22</v>
      </c>
      <c r="D41" s="23" t="s">
        <v>23</v>
      </c>
      <c r="F41" s="21" t="s">
        <v>16</v>
      </c>
      <c r="G41" s="22" t="s">
        <v>21</v>
      </c>
      <c r="H41" s="22" t="s">
        <v>22</v>
      </c>
      <c r="I41" s="23" t="s">
        <v>23</v>
      </c>
    </row>
    <row r="42" spans="1:9" s="20" customFormat="1" ht="13.5" customHeight="1" thickBot="1" x14ac:dyDescent="0.25">
      <c r="A42" s="219" t="s">
        <v>167</v>
      </c>
      <c r="B42" s="220"/>
      <c r="C42" s="220"/>
      <c r="D42" s="221"/>
      <c r="F42" s="219" t="s">
        <v>167</v>
      </c>
      <c r="G42" s="220"/>
      <c r="H42" s="220"/>
      <c r="I42" s="221"/>
    </row>
  </sheetData>
  <mergeCells count="28">
    <mergeCell ref="A13:D13"/>
    <mergeCell ref="A32:D32"/>
    <mergeCell ref="B1:C1"/>
    <mergeCell ref="A2:D2"/>
    <mergeCell ref="A3:D3"/>
    <mergeCell ref="A4:D4"/>
    <mergeCell ref="A5:D5"/>
    <mergeCell ref="G1:H1"/>
    <mergeCell ref="F2:I2"/>
    <mergeCell ref="F3:I3"/>
    <mergeCell ref="F4:I4"/>
    <mergeCell ref="F5:I5"/>
    <mergeCell ref="F13:I13"/>
    <mergeCell ref="F30:I30"/>
    <mergeCell ref="F42:I42"/>
    <mergeCell ref="A6:D6"/>
    <mergeCell ref="F6:I6"/>
    <mergeCell ref="A42:D42"/>
    <mergeCell ref="F7:I7"/>
    <mergeCell ref="F8:I8"/>
    <mergeCell ref="G9:I9"/>
    <mergeCell ref="G10:I10"/>
    <mergeCell ref="F12:I12"/>
    <mergeCell ref="A7:D7"/>
    <mergeCell ref="A8:D8"/>
    <mergeCell ref="B9:D9"/>
    <mergeCell ref="B10:D10"/>
    <mergeCell ref="A12:D12"/>
  </mergeCells>
  <phoneticPr fontId="22" type="noConversion"/>
  <pageMargins left="0.70866141732283472" right="0.70866141732283472" top="0.78740157480314965" bottom="0.78740157480314965" header="0.31496062992125984" footer="0.31496062992125984"/>
  <pageSetup paperSize="9" scale="85" orientation="portrait" r:id="rId1"/>
  <headerFooter>
    <oddFooter>&amp;R&amp;P/&amp;N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69BA6-2820-4467-89EB-A5FC3BCEF412}">
  <dimension ref="A1:M45"/>
  <sheetViews>
    <sheetView topLeftCell="I15" workbookViewId="0">
      <selection activeCell="B16" sqref="B16"/>
    </sheetView>
  </sheetViews>
  <sheetFormatPr baseColWidth="10" defaultColWidth="11" defaultRowHeight="14.25" x14ac:dyDescent="0.2"/>
  <cols>
    <col min="1" max="1" width="17.125" style="1" customWidth="1"/>
    <col min="2" max="2" width="61.5" style="1" customWidth="1"/>
    <col min="3" max="6" width="14.5" style="1" customWidth="1"/>
    <col min="7" max="7" width="3.5" style="1" customWidth="1"/>
    <col min="8" max="8" width="11" style="1" customWidth="1"/>
    <col min="9" max="9" width="61.5" style="1" customWidth="1"/>
    <col min="10" max="13" width="14.5" style="1" customWidth="1"/>
    <col min="14" max="16384" width="11" style="1"/>
  </cols>
  <sheetData>
    <row r="1" spans="1:13" ht="39.75" customHeight="1" thickBot="1" x14ac:dyDescent="0.25">
      <c r="A1" s="16" t="s">
        <v>12</v>
      </c>
      <c r="B1" s="297" t="s">
        <v>13</v>
      </c>
      <c r="C1" s="188"/>
      <c r="D1" s="188"/>
      <c r="E1" s="188"/>
      <c r="F1" s="34" t="s">
        <v>107</v>
      </c>
      <c r="H1" s="16" t="s">
        <v>12</v>
      </c>
      <c r="I1" s="297" t="s">
        <v>13</v>
      </c>
      <c r="J1" s="188"/>
      <c r="K1" s="188"/>
      <c r="L1" s="188"/>
      <c r="M1" s="34" t="s">
        <v>107</v>
      </c>
    </row>
    <row r="2" spans="1:13" ht="12" customHeight="1" thickBot="1" x14ac:dyDescent="0.25">
      <c r="A2" s="97"/>
      <c r="B2" s="298"/>
      <c r="C2" s="298"/>
      <c r="D2" s="298"/>
      <c r="E2" s="298"/>
      <c r="F2" s="309"/>
      <c r="I2" s="298"/>
      <c r="J2" s="298"/>
      <c r="K2" s="298"/>
      <c r="L2" s="298"/>
      <c r="M2" s="298"/>
    </row>
    <row r="3" spans="1:13" ht="67.5" customHeight="1" thickBot="1" x14ac:dyDescent="0.25">
      <c r="A3" s="299" t="s">
        <v>131</v>
      </c>
      <c r="B3" s="300"/>
      <c r="C3" s="300"/>
      <c r="D3" s="300"/>
      <c r="E3" s="300"/>
      <c r="F3" s="301"/>
      <c r="H3" s="299" t="s">
        <v>132</v>
      </c>
      <c r="I3" s="300"/>
      <c r="J3" s="300"/>
      <c r="K3" s="300"/>
      <c r="L3" s="300"/>
      <c r="M3" s="301"/>
    </row>
    <row r="4" spans="1:13" ht="8.25" customHeight="1" thickBot="1" x14ac:dyDescent="0.25">
      <c r="A4" s="97"/>
      <c r="B4" s="217"/>
      <c r="C4" s="200"/>
      <c r="D4" s="200"/>
      <c r="E4" s="200"/>
      <c r="F4" s="273"/>
      <c r="I4" s="217"/>
      <c r="J4" s="200"/>
      <c r="K4" s="200"/>
      <c r="L4" s="200"/>
      <c r="M4" s="200"/>
    </row>
    <row r="5" spans="1:13" ht="62.25" customHeight="1" x14ac:dyDescent="0.2">
      <c r="A5" s="305"/>
      <c r="B5" s="307" t="s">
        <v>92</v>
      </c>
      <c r="C5" s="120" t="s">
        <v>57</v>
      </c>
      <c r="D5" s="131" t="s">
        <v>120</v>
      </c>
      <c r="E5" s="132" t="s">
        <v>129</v>
      </c>
      <c r="F5" s="133" t="s">
        <v>60</v>
      </c>
      <c r="H5" s="209"/>
      <c r="I5" s="303" t="s">
        <v>130</v>
      </c>
      <c r="J5" s="120" t="s">
        <v>57</v>
      </c>
      <c r="K5" s="131" t="s">
        <v>120</v>
      </c>
      <c r="L5" s="132" t="s">
        <v>129</v>
      </c>
      <c r="M5" s="133" t="s">
        <v>60</v>
      </c>
    </row>
    <row r="6" spans="1:13" ht="27.75" customHeight="1" thickBot="1" x14ac:dyDescent="0.25">
      <c r="A6" s="306"/>
      <c r="B6" s="308"/>
      <c r="C6" s="128" t="s">
        <v>58</v>
      </c>
      <c r="D6" s="129" t="s">
        <v>58</v>
      </c>
      <c r="E6" s="130" t="s">
        <v>58</v>
      </c>
      <c r="F6" s="134" t="s">
        <v>59</v>
      </c>
      <c r="H6" s="302"/>
      <c r="I6" s="304"/>
      <c r="J6" s="128" t="s">
        <v>58</v>
      </c>
      <c r="K6" s="129" t="s">
        <v>58</v>
      </c>
      <c r="L6" s="130" t="s">
        <v>58</v>
      </c>
      <c r="M6" s="134" t="s">
        <v>59</v>
      </c>
    </row>
    <row r="7" spans="1:13" ht="33" customHeight="1" x14ac:dyDescent="0.2">
      <c r="A7" s="113" t="s">
        <v>121</v>
      </c>
      <c r="B7" s="124" t="s">
        <v>110</v>
      </c>
      <c r="C7" s="121">
        <v>1</v>
      </c>
      <c r="D7" s="109">
        <v>10</v>
      </c>
      <c r="E7" s="110">
        <v>30</v>
      </c>
      <c r="F7" s="115">
        <v>600</v>
      </c>
      <c r="H7" s="137" t="s">
        <v>64</v>
      </c>
      <c r="I7" s="141" t="s">
        <v>82</v>
      </c>
      <c r="J7" s="108">
        <v>1</v>
      </c>
      <c r="K7" s="109">
        <v>10</v>
      </c>
      <c r="L7" s="110">
        <v>30</v>
      </c>
      <c r="M7" s="115">
        <v>600</v>
      </c>
    </row>
    <row r="8" spans="1:13" ht="33" customHeight="1" x14ac:dyDescent="0.2">
      <c r="A8" s="113" t="s">
        <v>122</v>
      </c>
      <c r="B8" s="124" t="s">
        <v>111</v>
      </c>
      <c r="C8" s="121">
        <v>1</v>
      </c>
      <c r="D8" s="109">
        <v>10</v>
      </c>
      <c r="E8" s="110">
        <v>30</v>
      </c>
      <c r="F8" s="115">
        <v>600</v>
      </c>
      <c r="H8" s="138" t="s">
        <v>65</v>
      </c>
      <c r="I8" s="142" t="s">
        <v>80</v>
      </c>
      <c r="J8" s="108">
        <v>1</v>
      </c>
      <c r="K8" s="109">
        <v>10</v>
      </c>
      <c r="L8" s="110">
        <v>30</v>
      </c>
      <c r="M8" s="115">
        <v>600</v>
      </c>
    </row>
    <row r="9" spans="1:13" ht="33" customHeight="1" x14ac:dyDescent="0.2">
      <c r="A9" s="113" t="s">
        <v>123</v>
      </c>
      <c r="B9" s="124" t="s">
        <v>112</v>
      </c>
      <c r="C9" s="121">
        <v>1</v>
      </c>
      <c r="D9" s="109">
        <v>10</v>
      </c>
      <c r="E9" s="110">
        <v>30</v>
      </c>
      <c r="F9" s="115">
        <v>600</v>
      </c>
      <c r="H9" s="138" t="s">
        <v>66</v>
      </c>
      <c r="I9" s="142" t="s">
        <v>81</v>
      </c>
      <c r="J9" s="108">
        <v>1</v>
      </c>
      <c r="K9" s="109">
        <v>10</v>
      </c>
      <c r="L9" s="110">
        <v>30</v>
      </c>
      <c r="M9" s="115">
        <v>600</v>
      </c>
    </row>
    <row r="10" spans="1:13" ht="33" customHeight="1" x14ac:dyDescent="0.2">
      <c r="A10" s="113" t="s">
        <v>124</v>
      </c>
      <c r="B10" s="124" t="s">
        <v>113</v>
      </c>
      <c r="C10" s="121">
        <v>1</v>
      </c>
      <c r="D10" s="109">
        <v>10</v>
      </c>
      <c r="E10" s="110">
        <v>30</v>
      </c>
      <c r="F10" s="115">
        <v>600</v>
      </c>
      <c r="H10" s="138" t="s">
        <v>67</v>
      </c>
      <c r="I10" s="142" t="s">
        <v>104</v>
      </c>
      <c r="J10" s="108">
        <v>1</v>
      </c>
      <c r="K10" s="109">
        <v>10</v>
      </c>
      <c r="L10" s="110">
        <v>30</v>
      </c>
      <c r="M10" s="115">
        <v>600</v>
      </c>
    </row>
    <row r="11" spans="1:13" ht="33" customHeight="1" x14ac:dyDescent="0.2">
      <c r="A11" s="113" t="s">
        <v>125</v>
      </c>
      <c r="B11" s="125" t="s">
        <v>114</v>
      </c>
      <c r="C11" s="122">
        <v>1</v>
      </c>
      <c r="D11" s="109">
        <v>10</v>
      </c>
      <c r="E11" s="110">
        <v>30</v>
      </c>
      <c r="F11" s="115">
        <v>600</v>
      </c>
      <c r="H11" s="138" t="s">
        <v>68</v>
      </c>
      <c r="I11" s="143" t="s">
        <v>76</v>
      </c>
      <c r="J11" s="108">
        <v>1</v>
      </c>
      <c r="K11" s="109">
        <v>10</v>
      </c>
      <c r="L11" s="110">
        <v>30</v>
      </c>
      <c r="M11" s="115">
        <v>600</v>
      </c>
    </row>
    <row r="12" spans="1:13" ht="33" customHeight="1" x14ac:dyDescent="0.2">
      <c r="A12" s="113" t="s">
        <v>126</v>
      </c>
      <c r="B12" s="125" t="s">
        <v>115</v>
      </c>
      <c r="C12" s="122">
        <v>1</v>
      </c>
      <c r="D12" s="109">
        <v>10</v>
      </c>
      <c r="E12" s="110">
        <v>30</v>
      </c>
      <c r="F12" s="115">
        <v>600</v>
      </c>
      <c r="H12" s="138" t="s">
        <v>69</v>
      </c>
      <c r="I12" s="144" t="s">
        <v>77</v>
      </c>
      <c r="J12" s="108">
        <v>1</v>
      </c>
      <c r="K12" s="109">
        <v>10</v>
      </c>
      <c r="L12" s="110">
        <v>30</v>
      </c>
      <c r="M12" s="115">
        <v>600</v>
      </c>
    </row>
    <row r="13" spans="1:13" s="20" customFormat="1" ht="33" customHeight="1" x14ac:dyDescent="0.2">
      <c r="A13" s="113" t="s">
        <v>127</v>
      </c>
      <c r="B13" s="126" t="s">
        <v>159</v>
      </c>
      <c r="C13" s="122">
        <v>1</v>
      </c>
      <c r="D13" s="111">
        <v>10</v>
      </c>
      <c r="E13" s="112">
        <v>30</v>
      </c>
      <c r="F13" s="116">
        <v>600</v>
      </c>
      <c r="H13" s="138" t="s">
        <v>70</v>
      </c>
      <c r="I13" s="144" t="s">
        <v>78</v>
      </c>
      <c r="J13" s="108">
        <v>1</v>
      </c>
      <c r="K13" s="109">
        <v>10</v>
      </c>
      <c r="L13" s="110">
        <v>30</v>
      </c>
      <c r="M13" s="115">
        <v>600</v>
      </c>
    </row>
    <row r="14" spans="1:13" s="20" customFormat="1" ht="33" customHeight="1" thickBot="1" x14ac:dyDescent="0.25">
      <c r="A14" s="114" t="s">
        <v>128</v>
      </c>
      <c r="B14" s="127" t="s">
        <v>61</v>
      </c>
      <c r="C14" s="123">
        <v>1</v>
      </c>
      <c r="D14" s="117">
        <v>10</v>
      </c>
      <c r="E14" s="118">
        <v>30</v>
      </c>
      <c r="F14" s="119">
        <v>600</v>
      </c>
      <c r="H14" s="138" t="s">
        <v>71</v>
      </c>
      <c r="I14" s="145" t="s">
        <v>102</v>
      </c>
      <c r="J14" s="108">
        <v>1</v>
      </c>
      <c r="K14" s="109">
        <v>10</v>
      </c>
      <c r="L14" s="110">
        <v>30</v>
      </c>
      <c r="M14" s="115">
        <v>600</v>
      </c>
    </row>
    <row r="15" spans="1:13" s="20" customFormat="1" ht="33" customHeight="1" x14ac:dyDescent="0.2">
      <c r="A15" s="151"/>
      <c r="B15" s="135"/>
      <c r="C15" s="136"/>
      <c r="D15" s="136"/>
      <c r="E15" s="136"/>
      <c r="F15" s="152"/>
      <c r="H15" s="139" t="s">
        <v>72</v>
      </c>
      <c r="I15" s="145" t="s">
        <v>103</v>
      </c>
      <c r="J15" s="108">
        <v>1</v>
      </c>
      <c r="K15" s="109">
        <v>10</v>
      </c>
      <c r="L15" s="110">
        <v>30</v>
      </c>
      <c r="M15" s="115">
        <v>600</v>
      </c>
    </row>
    <row r="16" spans="1:13" s="20" customFormat="1" ht="33" customHeight="1" thickBot="1" x14ac:dyDescent="0.25">
      <c r="A16" s="151"/>
      <c r="B16" s="135"/>
      <c r="C16" s="136"/>
      <c r="D16" s="136"/>
      <c r="E16" s="136"/>
      <c r="F16" s="152"/>
      <c r="H16" s="140" t="s">
        <v>73</v>
      </c>
      <c r="I16" s="146" t="s">
        <v>118</v>
      </c>
      <c r="J16" s="108">
        <v>1</v>
      </c>
      <c r="K16" s="109">
        <v>10</v>
      </c>
      <c r="L16" s="110">
        <v>30</v>
      </c>
      <c r="M16" s="115">
        <v>600</v>
      </c>
    </row>
    <row r="17" spans="1:13" s="20" customFormat="1" ht="23.25" customHeight="1" x14ac:dyDescent="0.2">
      <c r="A17" s="99"/>
      <c r="B17" s="31"/>
      <c r="C17" s="33"/>
      <c r="D17" s="33"/>
      <c r="E17" s="33"/>
      <c r="F17" s="102"/>
      <c r="I17" s="31"/>
      <c r="J17" s="33"/>
      <c r="K17" s="33"/>
      <c r="L17" s="33"/>
      <c r="M17" s="33"/>
    </row>
    <row r="18" spans="1:13" x14ac:dyDescent="0.2">
      <c r="A18" s="97"/>
      <c r="F18" s="98"/>
    </row>
    <row r="19" spans="1:13" x14ac:dyDescent="0.2">
      <c r="A19" s="97"/>
      <c r="F19" s="98"/>
    </row>
    <row r="20" spans="1:13" x14ac:dyDescent="0.2">
      <c r="A20" s="97"/>
      <c r="F20" s="98"/>
    </row>
    <row r="21" spans="1:13" x14ac:dyDescent="0.2">
      <c r="A21" s="97"/>
      <c r="F21" s="98"/>
    </row>
    <row r="22" spans="1:13" x14ac:dyDescent="0.2">
      <c r="A22" s="97"/>
      <c r="F22" s="98"/>
    </row>
    <row r="23" spans="1:13" x14ac:dyDescent="0.2">
      <c r="A23" s="97"/>
      <c r="F23" s="98"/>
    </row>
    <row r="24" spans="1:13" x14ac:dyDescent="0.2">
      <c r="A24" s="97"/>
      <c r="F24" s="98"/>
    </row>
    <row r="25" spans="1:13" s="20" customFormat="1" ht="13.5" customHeight="1" x14ac:dyDescent="0.2">
      <c r="A25" s="99"/>
      <c r="C25" s="32"/>
      <c r="D25" s="32"/>
      <c r="E25" s="32"/>
      <c r="F25" s="100"/>
      <c r="J25" s="32"/>
      <c r="K25" s="32"/>
      <c r="L25" s="32"/>
      <c r="M25" s="32"/>
    </row>
    <row r="26" spans="1:13" s="20" customFormat="1" ht="13.5" customHeight="1" x14ac:dyDescent="0.2">
      <c r="A26" s="99"/>
      <c r="B26" s="31"/>
      <c r="C26" s="33"/>
      <c r="D26" s="33"/>
      <c r="E26" s="33"/>
      <c r="F26" s="102"/>
      <c r="I26" s="31"/>
      <c r="J26" s="33"/>
      <c r="K26" s="33"/>
      <c r="L26" s="33"/>
      <c r="M26" s="33"/>
    </row>
    <row r="27" spans="1:13" s="20" customFormat="1" ht="13.5" customHeight="1" x14ac:dyDescent="0.2">
      <c r="A27" s="99"/>
      <c r="B27" s="31"/>
      <c r="C27" s="33"/>
      <c r="D27" s="33"/>
      <c r="E27" s="33"/>
      <c r="F27" s="102"/>
      <c r="I27" s="31"/>
      <c r="J27" s="33"/>
      <c r="K27" s="33"/>
      <c r="L27" s="33"/>
      <c r="M27" s="33"/>
    </row>
    <row r="28" spans="1:13" s="20" customFormat="1" ht="15" customHeight="1" x14ac:dyDescent="0.2">
      <c r="A28" s="99"/>
      <c r="B28" s="218"/>
      <c r="C28" s="218"/>
      <c r="D28" s="218"/>
      <c r="E28" s="218"/>
      <c r="F28" s="275"/>
      <c r="I28" s="218"/>
      <c r="J28" s="218"/>
      <c r="K28" s="218"/>
      <c r="L28" s="218"/>
      <c r="M28" s="218"/>
    </row>
    <row r="29" spans="1:13" s="20" customFormat="1" ht="15" customHeight="1" x14ac:dyDescent="0.2">
      <c r="A29" s="99"/>
      <c r="B29" s="60"/>
      <c r="C29" s="60"/>
      <c r="D29" s="60"/>
      <c r="E29" s="60"/>
      <c r="F29" s="147"/>
      <c r="I29" s="60"/>
      <c r="J29" s="60"/>
      <c r="K29" s="60"/>
      <c r="L29" s="60"/>
      <c r="M29" s="60"/>
    </row>
    <row r="30" spans="1:13" s="20" customFormat="1" ht="15" customHeight="1" x14ac:dyDescent="0.2">
      <c r="A30" s="99"/>
      <c r="B30" s="60"/>
      <c r="C30" s="60"/>
      <c r="D30" s="60"/>
      <c r="E30" s="60"/>
      <c r="F30" s="147"/>
      <c r="I30" s="60"/>
      <c r="J30" s="60"/>
      <c r="K30" s="60"/>
      <c r="L30" s="60"/>
      <c r="M30" s="60"/>
    </row>
    <row r="31" spans="1:13" x14ac:dyDescent="0.2">
      <c r="A31" s="97"/>
      <c r="F31" s="98"/>
    </row>
    <row r="32" spans="1:13" x14ac:dyDescent="0.2">
      <c r="A32" s="97"/>
      <c r="F32" s="98"/>
    </row>
    <row r="33" spans="1:13" x14ac:dyDescent="0.2">
      <c r="A33" s="97"/>
      <c r="F33" s="98"/>
    </row>
    <row r="34" spans="1:13" x14ac:dyDescent="0.2">
      <c r="A34" s="97"/>
      <c r="F34" s="98"/>
    </row>
    <row r="35" spans="1:13" x14ac:dyDescent="0.2">
      <c r="A35" s="97"/>
      <c r="F35" s="98"/>
    </row>
    <row r="36" spans="1:13" x14ac:dyDescent="0.2">
      <c r="A36" s="97"/>
      <c r="F36" s="98"/>
    </row>
    <row r="37" spans="1:13" x14ac:dyDescent="0.2">
      <c r="A37" s="97"/>
      <c r="F37" s="98"/>
    </row>
    <row r="38" spans="1:13" x14ac:dyDescent="0.2">
      <c r="A38" s="97"/>
      <c r="F38" s="98"/>
    </row>
    <row r="39" spans="1:13" x14ac:dyDescent="0.2">
      <c r="A39" s="97"/>
      <c r="F39" s="98"/>
    </row>
    <row r="40" spans="1:13" x14ac:dyDescent="0.2">
      <c r="A40" s="97"/>
      <c r="F40" s="98"/>
    </row>
    <row r="41" spans="1:13" ht="15" thickBot="1" x14ac:dyDescent="0.25">
      <c r="A41" s="97"/>
      <c r="F41" s="98"/>
    </row>
    <row r="42" spans="1:13" x14ac:dyDescent="0.2">
      <c r="A42" s="17"/>
      <c r="B42" s="18" t="s">
        <v>17</v>
      </c>
      <c r="C42" s="179" t="s">
        <v>18</v>
      </c>
      <c r="D42" s="179"/>
      <c r="E42" s="179" t="s">
        <v>19</v>
      </c>
      <c r="F42" s="180"/>
      <c r="H42" s="17"/>
      <c r="I42" s="18" t="s">
        <v>17</v>
      </c>
      <c r="J42" s="179" t="s">
        <v>18</v>
      </c>
      <c r="K42" s="179"/>
      <c r="L42" s="179" t="s">
        <v>19</v>
      </c>
      <c r="M42" s="180"/>
    </row>
    <row r="43" spans="1:13" x14ac:dyDescent="0.2">
      <c r="A43" s="21" t="s">
        <v>15</v>
      </c>
      <c r="B43" s="22" t="s">
        <v>20</v>
      </c>
      <c r="C43" s="171" t="s">
        <v>20</v>
      </c>
      <c r="D43" s="171"/>
      <c r="E43" s="171" t="s">
        <v>20</v>
      </c>
      <c r="F43" s="172"/>
      <c r="H43" s="21" t="s">
        <v>15</v>
      </c>
      <c r="I43" s="22" t="s">
        <v>20</v>
      </c>
      <c r="J43" s="171" t="s">
        <v>20</v>
      </c>
      <c r="K43" s="171"/>
      <c r="L43" s="171" t="s">
        <v>20</v>
      </c>
      <c r="M43" s="172"/>
    </row>
    <row r="44" spans="1:13" x14ac:dyDescent="0.2">
      <c r="A44" s="21" t="s">
        <v>16</v>
      </c>
      <c r="B44" s="22" t="s">
        <v>21</v>
      </c>
      <c r="C44" s="171" t="s">
        <v>22</v>
      </c>
      <c r="D44" s="171"/>
      <c r="E44" s="171" t="s">
        <v>23</v>
      </c>
      <c r="F44" s="172"/>
      <c r="H44" s="21" t="s">
        <v>16</v>
      </c>
      <c r="I44" s="22" t="s">
        <v>21</v>
      </c>
      <c r="J44" s="171" t="s">
        <v>22</v>
      </c>
      <c r="K44" s="171"/>
      <c r="L44" s="171" t="s">
        <v>23</v>
      </c>
      <c r="M44" s="172"/>
    </row>
    <row r="45" spans="1:13" ht="15" thickBot="1" x14ac:dyDescent="0.25">
      <c r="A45" s="219" t="s">
        <v>167</v>
      </c>
      <c r="B45" s="220"/>
      <c r="C45" s="220"/>
      <c r="D45" s="220"/>
      <c r="E45" s="295"/>
      <c r="F45" s="296"/>
      <c r="H45" s="219" t="s">
        <v>167</v>
      </c>
      <c r="I45" s="220"/>
      <c r="J45" s="220"/>
      <c r="K45" s="220"/>
      <c r="L45" s="295"/>
      <c r="M45" s="296"/>
    </row>
  </sheetData>
  <mergeCells count="30">
    <mergeCell ref="A5:A6"/>
    <mergeCell ref="B1:E1"/>
    <mergeCell ref="A45:D45"/>
    <mergeCell ref="E42:F42"/>
    <mergeCell ref="E43:F43"/>
    <mergeCell ref="E44:F44"/>
    <mergeCell ref="C42:D42"/>
    <mergeCell ref="C43:D43"/>
    <mergeCell ref="C44:D44"/>
    <mergeCell ref="E45:F45"/>
    <mergeCell ref="A3:F3"/>
    <mergeCell ref="B5:B6"/>
    <mergeCell ref="B28:F28"/>
    <mergeCell ref="B4:F4"/>
    <mergeCell ref="B2:F2"/>
    <mergeCell ref="I1:L1"/>
    <mergeCell ref="I2:M2"/>
    <mergeCell ref="H3:M3"/>
    <mergeCell ref="I4:M4"/>
    <mergeCell ref="H5:H6"/>
    <mergeCell ref="I5:I6"/>
    <mergeCell ref="J44:K44"/>
    <mergeCell ref="L44:M44"/>
    <mergeCell ref="H45:K45"/>
    <mergeCell ref="L45:M45"/>
    <mergeCell ref="I28:M28"/>
    <mergeCell ref="J42:K42"/>
    <mergeCell ref="L42:M42"/>
    <mergeCell ref="J43:K43"/>
    <mergeCell ref="L43:M43"/>
  </mergeCells>
  <phoneticPr fontId="22" type="noConversion"/>
  <pageMargins left="0.70866141732283472" right="0.70866141732283472" top="0.78740157480314965" bottom="0.78740157480314965" header="0.31496062992125984" footer="0.31496062992125984"/>
  <pageSetup paperSize="9" scale="88" orientation="landscape" r:id="rId1"/>
  <headerFooter>
    <oddFooter>&amp;R&amp;P/&amp;N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6B10F-507B-42FF-9D7A-C979B7813B4C}">
  <dimension ref="A1:G27"/>
  <sheetViews>
    <sheetView topLeftCell="A13" workbookViewId="0">
      <selection activeCell="J11" sqref="J11"/>
    </sheetView>
  </sheetViews>
  <sheetFormatPr baseColWidth="10" defaultColWidth="11" defaultRowHeight="14.25" x14ac:dyDescent="0.2"/>
  <cols>
    <col min="1" max="1" width="21.75" style="1" customWidth="1"/>
    <col min="2" max="2" width="21" style="1" customWidth="1"/>
    <col min="3" max="3" width="21.875" style="1" customWidth="1"/>
    <col min="4" max="4" width="26.375" style="1" customWidth="1"/>
    <col min="5" max="16384" width="11" style="1"/>
  </cols>
  <sheetData>
    <row r="1" spans="1:7" ht="39.75" customHeight="1" thickBot="1" x14ac:dyDescent="0.25">
      <c r="A1" s="16" t="s">
        <v>12</v>
      </c>
      <c r="B1" s="187" t="s">
        <v>13</v>
      </c>
      <c r="C1" s="188"/>
      <c r="D1" s="34" t="s">
        <v>30</v>
      </c>
    </row>
    <row r="2" spans="1:7" ht="5.25" customHeight="1" x14ac:dyDescent="0.2">
      <c r="A2" s="298"/>
      <c r="B2" s="298"/>
      <c r="C2" s="298"/>
      <c r="D2" s="298"/>
    </row>
    <row r="3" spans="1:7" ht="138.75" customHeight="1" x14ac:dyDescent="0.2">
      <c r="A3" s="333" t="s">
        <v>98</v>
      </c>
      <c r="B3" s="334"/>
      <c r="C3" s="334"/>
      <c r="D3" s="335"/>
    </row>
    <row r="4" spans="1:7" ht="6" customHeight="1" thickBot="1" x14ac:dyDescent="0.25">
      <c r="A4" s="336"/>
      <c r="B4" s="336"/>
      <c r="C4" s="336"/>
      <c r="D4" s="336"/>
    </row>
    <row r="5" spans="1:7" ht="26.25" customHeight="1" thickBot="1" x14ac:dyDescent="0.25">
      <c r="A5" s="323" t="s">
        <v>94</v>
      </c>
      <c r="B5" s="324"/>
      <c r="C5" s="324"/>
      <c r="D5" s="325"/>
    </row>
    <row r="6" spans="1:7" ht="104.25" customHeight="1" x14ac:dyDescent="0.25">
      <c r="A6" s="328" t="s">
        <v>136</v>
      </c>
      <c r="B6" s="329"/>
      <c r="C6" s="329"/>
      <c r="D6" s="329"/>
    </row>
    <row r="7" spans="1:7" ht="6.75" customHeight="1" thickBot="1" x14ac:dyDescent="0.3">
      <c r="A7" s="326"/>
      <c r="B7" s="327"/>
      <c r="C7" s="327"/>
      <c r="D7" s="327"/>
    </row>
    <row r="8" spans="1:7" ht="33" customHeight="1" thickBot="1" x14ac:dyDescent="0.3">
      <c r="A8" s="317" t="s">
        <v>101</v>
      </c>
      <c r="B8" s="318"/>
      <c r="C8" s="318"/>
      <c r="D8" s="319"/>
    </row>
    <row r="9" spans="1:7" ht="33.75" customHeight="1" x14ac:dyDescent="0.25">
      <c r="A9" s="330" t="s">
        <v>99</v>
      </c>
      <c r="B9" s="331"/>
      <c r="C9" s="331"/>
      <c r="D9" s="332"/>
    </row>
    <row r="10" spans="1:7" ht="5.25" customHeight="1" x14ac:dyDescent="0.25">
      <c r="A10" s="311"/>
      <c r="B10" s="311"/>
      <c r="C10" s="311"/>
      <c r="D10" s="311"/>
    </row>
    <row r="11" spans="1:7" ht="34.5" customHeight="1" x14ac:dyDescent="0.2">
      <c r="A11" s="212" t="s">
        <v>95</v>
      </c>
      <c r="B11" s="256"/>
      <c r="C11" s="256"/>
      <c r="D11" s="257"/>
      <c r="G11" s="59"/>
    </row>
    <row r="12" spans="1:7" ht="5.25" customHeight="1" x14ac:dyDescent="0.2">
      <c r="A12" s="28"/>
      <c r="B12" s="15"/>
      <c r="C12" s="15"/>
      <c r="D12" s="15"/>
    </row>
    <row r="13" spans="1:7" ht="93" customHeight="1" x14ac:dyDescent="0.2">
      <c r="A13" s="212" t="s">
        <v>137</v>
      </c>
      <c r="B13" s="256"/>
      <c r="C13" s="256"/>
      <c r="D13" s="257"/>
      <c r="G13" s="59"/>
    </row>
    <row r="14" spans="1:7" ht="5.25" customHeight="1" x14ac:dyDescent="0.25">
      <c r="A14" s="310"/>
      <c r="B14" s="311"/>
      <c r="C14" s="311"/>
      <c r="D14" s="311"/>
    </row>
    <row r="15" spans="1:7" ht="51" customHeight="1" x14ac:dyDescent="0.2">
      <c r="A15" s="212" t="s">
        <v>141</v>
      </c>
      <c r="B15" s="256"/>
      <c r="C15" s="256"/>
      <c r="D15" s="257"/>
      <c r="G15" s="59"/>
    </row>
    <row r="16" spans="1:7" ht="7.5" customHeight="1" thickBot="1" x14ac:dyDescent="0.25">
      <c r="A16" s="28"/>
      <c r="B16" s="15"/>
      <c r="C16" s="15"/>
      <c r="D16" s="15"/>
    </row>
    <row r="17" spans="1:4" ht="32.25" customHeight="1" thickBot="1" x14ac:dyDescent="0.3">
      <c r="A17" s="317" t="s">
        <v>100</v>
      </c>
      <c r="B17" s="318"/>
      <c r="C17" s="318"/>
      <c r="D17" s="319"/>
    </row>
    <row r="18" spans="1:4" ht="4.5" customHeight="1" x14ac:dyDescent="0.2">
      <c r="A18" s="28"/>
      <c r="B18" s="15"/>
      <c r="C18" s="15"/>
      <c r="D18" s="15"/>
    </row>
    <row r="19" spans="1:4" ht="78" customHeight="1" x14ac:dyDescent="0.2">
      <c r="A19" s="312" t="s">
        <v>142</v>
      </c>
      <c r="B19" s="313"/>
      <c r="C19" s="313"/>
      <c r="D19" s="314"/>
    </row>
    <row r="20" spans="1:4" ht="5.25" customHeight="1" x14ac:dyDescent="0.2">
      <c r="A20" s="315"/>
      <c r="B20" s="316"/>
      <c r="C20" s="316"/>
      <c r="D20" s="316"/>
    </row>
    <row r="21" spans="1:4" ht="58.5" customHeight="1" x14ac:dyDescent="0.2">
      <c r="A21" s="320" t="s">
        <v>143</v>
      </c>
      <c r="B21" s="321"/>
      <c r="C21" s="321"/>
      <c r="D21" s="322"/>
    </row>
    <row r="22" spans="1:4" ht="14.25" customHeight="1" x14ac:dyDescent="0.2">
      <c r="A22" s="30"/>
      <c r="B22" s="29"/>
      <c r="C22" s="29"/>
      <c r="D22" s="29"/>
    </row>
    <row r="23" spans="1:4" ht="15" thickBot="1" x14ac:dyDescent="0.25"/>
    <row r="24" spans="1:4" s="20" customFormat="1" ht="13.5" customHeight="1" x14ac:dyDescent="0.2">
      <c r="A24" s="17"/>
      <c r="B24" s="18" t="s">
        <v>17</v>
      </c>
      <c r="C24" s="18" t="s">
        <v>18</v>
      </c>
      <c r="D24" s="19" t="s">
        <v>19</v>
      </c>
    </row>
    <row r="25" spans="1:4" s="20" customFormat="1" ht="13.5" customHeight="1" x14ac:dyDescent="0.2">
      <c r="A25" s="21" t="s">
        <v>15</v>
      </c>
      <c r="B25" s="22" t="s">
        <v>20</v>
      </c>
      <c r="C25" s="22" t="s">
        <v>20</v>
      </c>
      <c r="D25" s="23" t="s">
        <v>20</v>
      </c>
    </row>
    <row r="26" spans="1:4" s="20" customFormat="1" ht="13.5" customHeight="1" x14ac:dyDescent="0.2">
      <c r="A26" s="21" t="s">
        <v>16</v>
      </c>
      <c r="B26" s="22" t="s">
        <v>21</v>
      </c>
      <c r="C26" s="22" t="s">
        <v>22</v>
      </c>
      <c r="D26" s="23" t="s">
        <v>23</v>
      </c>
    </row>
    <row r="27" spans="1:4" s="20" customFormat="1" ht="13.5" customHeight="1" thickBot="1" x14ac:dyDescent="0.25">
      <c r="A27" s="219" t="s">
        <v>167</v>
      </c>
      <c r="B27" s="220"/>
      <c r="C27" s="220"/>
      <c r="D27" s="221"/>
    </row>
  </sheetData>
  <mergeCells count="19">
    <mergeCell ref="B1:C1"/>
    <mergeCell ref="A2:D2"/>
    <mergeCell ref="A5:D5"/>
    <mergeCell ref="A13:D13"/>
    <mergeCell ref="A11:D11"/>
    <mergeCell ref="A7:D7"/>
    <mergeCell ref="A6:D6"/>
    <mergeCell ref="A8:D8"/>
    <mergeCell ref="A9:D9"/>
    <mergeCell ref="A3:D3"/>
    <mergeCell ref="A4:D4"/>
    <mergeCell ref="A10:D10"/>
    <mergeCell ref="A14:D14"/>
    <mergeCell ref="A19:D19"/>
    <mergeCell ref="A20:D20"/>
    <mergeCell ref="A27:D27"/>
    <mergeCell ref="A15:D15"/>
    <mergeCell ref="A17:D17"/>
    <mergeCell ref="A21:D21"/>
  </mergeCells>
  <pageMargins left="0.70866141732283472" right="0.70866141732283472" top="0.78740157480314965" bottom="0.78740157480314965" header="0.31496062992125984" footer="0.31496062992125984"/>
  <pageSetup paperSize="9" scale="88" orientation="portrait" r:id="rId1"/>
  <headerFooter>
    <oddFooter>&amp;R&amp;P/&amp;N</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10</vt:i4>
      </vt:variant>
    </vt:vector>
  </HeadingPairs>
  <TitlesOfParts>
    <vt:vector size="10" baseType="lpstr">
      <vt:lpstr>Deckblatt</vt:lpstr>
      <vt:lpstr>UH-Zahl AMS BAU</vt:lpstr>
      <vt:lpstr>TPQ</vt:lpstr>
      <vt:lpstr>SGUnternehmen</vt:lpstr>
      <vt:lpstr>SGproUnfall</vt:lpstr>
      <vt:lpstr>LTIF</vt:lpstr>
      <vt:lpstr>TRIFR</vt:lpstr>
      <vt:lpstr>SGproUnfallkat</vt:lpstr>
      <vt:lpstr>Auswertung nach Unfallkategorie</vt:lpstr>
      <vt:lpstr>Anregung weitere SGA Kennzahlen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2023-10-24T11:33:36Z</cp:lastPrinted>
  <dcterms:created xsi:type="dcterms:W3CDTF">2018-01-24T13:44:11Z</dcterms:created>
  <dcterms:modified xsi:type="dcterms:W3CDTF">2025-03-28T08:20:51Z</dcterms:modified>
</cp:coreProperties>
</file>