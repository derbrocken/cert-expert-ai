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r\1\y\OK\"/>
    </mc:Choice>
  </mc:AlternateContent>
  <xr:revisionPtr revIDLastSave="0" documentId="13_ncr:1_{683A5A2E-9836-4641-B117-B69F4F17C4AA}" xr6:coauthVersionLast="47" xr6:coauthVersionMax="47" xr10:uidLastSave="{00000000-0000-0000-0000-000000000000}"/>
  <bookViews>
    <workbookView xWindow="1927" yWindow="645" windowWidth="26356" windowHeight="13875" activeTab="5" xr2:uid="{00000000-000D-0000-FFFF-FFFF00000000}"/>
  </bookViews>
  <sheets>
    <sheet name="Erfassung" sheetId="1" r:id="rId1"/>
    <sheet name="Art-Bereich-Tage" sheetId="2" r:id="rId2"/>
    <sheet name="Liste" sheetId="3" r:id="rId3"/>
    <sheet name="Unfallart" sheetId="4" r:id="rId4"/>
    <sheet name="Ausfalltage" sheetId="5" r:id="rId5"/>
    <sheet name="Betriebsbereich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5" i="3" l="1"/>
  <c r="N34" i="3"/>
  <c r="N33" i="3"/>
  <c r="N32" i="3"/>
  <c r="M35" i="3"/>
  <c r="M34" i="3"/>
  <c r="M33" i="3"/>
  <c r="M32" i="3"/>
  <c r="L35" i="3"/>
  <c r="L34" i="3"/>
  <c r="L33" i="3"/>
  <c r="L32" i="3"/>
  <c r="N26" i="3"/>
  <c r="N25" i="3"/>
  <c r="N24" i="3"/>
  <c r="N23" i="3"/>
  <c r="N22" i="3"/>
  <c r="N21" i="3"/>
  <c r="N20" i="3"/>
  <c r="N19" i="3"/>
  <c r="N18" i="3"/>
  <c r="N17" i="3"/>
  <c r="N16" i="3"/>
  <c r="M26" i="3"/>
  <c r="M25" i="3"/>
  <c r="M24" i="3"/>
  <c r="M23" i="3"/>
  <c r="M22" i="3"/>
  <c r="M21" i="3"/>
  <c r="M20" i="3"/>
  <c r="M19" i="3"/>
  <c r="M18" i="3"/>
  <c r="M17" i="3"/>
  <c r="M16" i="3"/>
  <c r="L26" i="3"/>
  <c r="L25" i="3"/>
  <c r="L24" i="3"/>
  <c r="L23" i="3"/>
  <c r="L22" i="3"/>
  <c r="L21" i="3"/>
  <c r="L20" i="3"/>
  <c r="L19" i="3"/>
  <c r="L18" i="3"/>
  <c r="L17" i="3"/>
  <c r="L16" i="3"/>
  <c r="N11" i="3"/>
  <c r="N10" i="3"/>
  <c r="N9" i="3"/>
  <c r="N8" i="3"/>
  <c r="N7" i="3"/>
  <c r="N6" i="3"/>
  <c r="N5" i="3"/>
  <c r="N4" i="3"/>
  <c r="N3" i="3"/>
  <c r="M11" i="3"/>
  <c r="M10" i="3"/>
  <c r="M9" i="3"/>
  <c r="M8" i="3"/>
  <c r="M7" i="3"/>
  <c r="M6" i="3"/>
  <c r="M5" i="3"/>
  <c r="M4" i="3"/>
  <c r="M3" i="3"/>
  <c r="L11" i="3"/>
  <c r="L10" i="3"/>
  <c r="L9" i="3"/>
  <c r="L8" i="3"/>
  <c r="L7" i="3"/>
  <c r="L6" i="3"/>
  <c r="L5" i="3"/>
  <c r="L4" i="3"/>
  <c r="L3" i="3"/>
  <c r="D3" i="2"/>
  <c r="F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N36" i="3" l="1"/>
  <c r="M36" i="3"/>
  <c r="L36" i="3"/>
  <c r="N27" i="3"/>
  <c r="L27" i="3"/>
  <c r="M27" i="3"/>
  <c r="N12" i="3"/>
  <c r="M12" i="3"/>
  <c r="L12" i="3"/>
  <c r="O36" i="3" l="1"/>
  <c r="O27" i="3"/>
  <c r="O12" i="3"/>
</calcChain>
</file>

<file path=xl/sharedStrings.xml><?xml version="1.0" encoding="utf-8"?>
<sst xmlns="http://schemas.openxmlformats.org/spreadsheetml/2006/main" count="914" uniqueCount="56">
  <si>
    <t>Datum</t>
  </si>
  <si>
    <t>Ausfalltage</t>
  </si>
  <si>
    <t>Beitriebsbereich</t>
  </si>
  <si>
    <t>Unfallart</t>
  </si>
  <si>
    <t>Verwaltung</t>
  </si>
  <si>
    <t>über 6 Wochen</t>
  </si>
  <si>
    <t>1 Tag</t>
  </si>
  <si>
    <t>2 Tage</t>
  </si>
  <si>
    <t>3 Tage</t>
  </si>
  <si>
    <t>4 Tage</t>
  </si>
  <si>
    <t>5 Tage</t>
  </si>
  <si>
    <t>6 Tage</t>
  </si>
  <si>
    <t>7 Tage</t>
  </si>
  <si>
    <t>Datum:</t>
  </si>
  <si>
    <t>Ausfalltage:</t>
  </si>
  <si>
    <t>Betriebsbereich:</t>
  </si>
  <si>
    <t>Tag</t>
  </si>
  <si>
    <t>Monat</t>
  </si>
  <si>
    <t>Jahr</t>
  </si>
  <si>
    <t>Januar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</si>
  <si>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</si>
  <si>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</si>
  <si>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</si>
  <si>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</si>
  <si>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</si>
  <si>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</si>
  <si>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</si>
  <si>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</si>
  <si>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</si>
  <si>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</si>
  <si>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</si>
  <si>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8 bis 14 Tage</t>
  </si>
  <si>
    <t>15 bis 30 Tage</t>
  </si>
  <si>
    <t>31-42 Tage</t>
  </si>
  <si>
    <t>Bauhof</t>
  </si>
  <si>
    <t>Fuhrpark</t>
  </si>
  <si>
    <t>Baustelle</t>
  </si>
  <si>
    <t>Absturz</t>
  </si>
  <si>
    <t>Brand und Explosion</t>
  </si>
  <si>
    <t>Gefahrstoffe</t>
  </si>
  <si>
    <t>Elektrische Anlagen</t>
  </si>
  <si>
    <t>Erfasst und getroffen werden</t>
  </si>
  <si>
    <t>Spitze, scharfkantige Gegenstände</t>
  </si>
  <si>
    <t>Ungeschützt bewegte Maschinenteile</t>
  </si>
  <si>
    <t>Unkontrolliert bewegte Teile</t>
  </si>
  <si>
    <t>Stolpern / Rutschen / Stürzen</t>
  </si>
  <si>
    <t>nein</t>
  </si>
  <si>
    <t>ja</t>
  </si>
  <si>
    <t>toedlich</t>
  </si>
  <si>
    <t>tödlich</t>
  </si>
  <si>
    <t>Unfallursache:</t>
  </si>
  <si>
    <t>Erfassung der Unfalldaten bei betrieblichen Tätigkeiten</t>
  </si>
  <si>
    <r>
      <t>*</t>
    </r>
    <r>
      <rPr>
        <sz val="8"/>
        <rFont val="Arial"/>
        <family val="2"/>
      </rPr>
      <t xml:space="preserve"> für einen tödlichen Unfall werden </t>
    </r>
  </si>
  <si>
    <t xml:space="preserve">   30 Ausfalltage angenommen</t>
  </si>
  <si>
    <r>
      <t>tödlich</t>
    </r>
    <r>
      <rPr>
        <sz val="11"/>
        <color indexed="18"/>
        <rFont val="Arial"/>
        <family val="2"/>
      </rPr>
      <t>*</t>
    </r>
    <r>
      <rPr>
        <b/>
        <sz val="11"/>
        <color indexed="18"/>
        <rFont val="Arial"/>
        <family val="2"/>
      </rPr>
      <t>:</t>
    </r>
  </si>
  <si>
    <t>Betriebsbereich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</si>
</sst>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11"/>
      <color indexed="18"/>
      <name val="Arial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8"/>
      <color indexed="18"/>
      <name val="Arial"/>
      <family val="2"/>
    </font>
    <font>
      <sz val="8"/>
      <color indexed="18"/>
      <name val="Arial"/>
      <family val="2"/>
    </font>
    <font>
      <b/>
      <sz val="14"/>
      <color indexed="1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4" fillId="0" borderId="0" xfId="0" applyFont="1"/>
    <xf numFmtId="0" fontId="3" fillId="2" borderId="0" xfId="0" applyFont="1" applyFill="1"/>
    <xf numFmtId="0" fontId="1" fillId="0" borderId="1" xfId="0" applyFont="1" applyBorder="1"/>
    <xf numFmtId="14" fontId="0" fillId="0" borderId="2" xfId="0" applyNumberFormat="1" applyBorder="1"/>
    <xf numFmtId="0" fontId="3" fillId="0" borderId="3" xfId="0" applyFont="1" applyBorder="1"/>
    <xf numFmtId="0" fontId="0" fillId="0" borderId="4" xfId="0" applyBorder="1"/>
    <xf numFmtId="0" fontId="3" fillId="0" borderId="5" xfId="0" applyFont="1" applyBorder="1"/>
    <xf numFmtId="0" fontId="0" fillId="0" borderId="6" xfId="0" applyBorder="1"/>
    <xf numFmtId="0" fontId="0" fillId="3" borderId="0" xfId="0" applyFill="1"/>
    <xf numFmtId="14" fontId="0" fillId="3" borderId="0" xfId="0" applyNumberFormat="1" applyFill="1"/>
    <xf numFmtId="2" fontId="2" fillId="0" borderId="0" xfId="0" applyNumberFormat="1" applyFont="1"/>
    <xf numFmtId="0" fontId="1" fillId="0" borderId="0" xfId="0" applyFont="1"/>
    <xf numFmtId="14" fontId="0" fillId="0" borderId="2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3" fillId="2" borderId="0" xfId="0" applyFont="1" applyFill="1" applyAlignment="1">
      <alignment horizontal="left"/>
    </xf>
    <xf numFmtId="0" fontId="6" fillId="0" borderId="0" xfId="0" applyFont="1"/>
    <xf numFmtId="0" fontId="6" fillId="0" borderId="0" xfId="0" quotePrefix="1" applyFont="1"/>
    <xf numFmtId="0" fontId="7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14" fontId="6" fillId="0" borderId="0" xfId="0" applyNumberFormat="1" applyFont="1"/>
    <xf numFmtId="0" fontId="8" fillId="0" borderId="0" xfId="0" applyFont="1" applyAlignment="1">
      <alignment horizontal="right"/>
    </xf>
    <xf numFmtId="0" fontId="9" fillId="0" borderId="0" xfId="0" applyFont="1"/>
    <xf numFmtId="0" fontId="7" fillId="0" borderId="0" xfId="0" applyFont="1"/>
    <xf numFmtId="0" fontId="10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Auswertung der Unfallzahlen - Unfallursachen</a:t>
            </a:r>
          </a:p>
        </c:rich>
      </c:tx>
      <c:layout>
        <c:manualLayout>
          <c:xMode val="edge"/>
          <c:yMode val="edge"/>
          <c:x val="0.32916670087771877"/>
          <c:y val="2.0201953978364377E-2"/>
        </c:manualLayout>
      </c:layout>
      <c:overlay val="0"/>
      <c:spPr>
        <a:noFill/>
        <a:ln w="25400">
          <a:noFill/>
        </a:ln>
      </c:spPr>
    </c:title>
    <c:autoTitleDeleted val="0"/>
    <c:view3D>
      <c:rotX val="10"/>
      <c:hPercent val="52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3.4375000000000003E-2"/>
          <c:y val="0.10437710437710437"/>
          <c:w val="0.95520833333333333"/>
          <c:h val="0.7239057239057239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Liste!$L$2</c:f>
              <c:strCache>
                <c:ptCount val="1"/>
                <c:pt idx="0">
                  <c:v>1997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Liste!$K$3:$K$11</c:f>
              <c:strCache>
                <c:ptCount val="9"/>
                <c:pt idx="0">
                  <c:v>Absturz</c:v>
                </c:pt>
                <c:pt idx="1">
                  <c:v>Brand und Explosion</c:v>
                </c:pt>
                <c:pt idx="2">
                  <c:v>Gefahrstoffe</c:v>
                </c:pt>
                <c:pt idx="3">
                  <c:v>Elektrische Anlagen</c:v>
                </c:pt>
                <c:pt idx="4">
                  <c:v>Erfasst und getroffen werden</c:v>
                </c:pt>
                <c:pt idx="5">
                  <c:v>Spitze, scharfkantige Gegenstände</c:v>
                </c:pt>
                <c:pt idx="6">
                  <c:v>Stolpern / Rutschen / Stürzen</c:v>
                </c:pt>
                <c:pt idx="7">
                  <c:v>Ungeschützt bewegte Maschinenteile</c:v>
                </c:pt>
                <c:pt idx="8">
                  <c:v>Unkontrolliert bewegte Teile</c:v>
                </c:pt>
              </c:strCache>
            </c:strRef>
          </c:cat>
          <c:val>
            <c:numRef>
              <c:f>Liste!$L$3:$L$11</c:f>
              <c:numCache>
                <c:formatCode>General</c:formatCode>
                <c:ptCount val="9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1</c:v>
                </c:pt>
                <c:pt idx="7">
                  <c:v>5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27-4DEF-8110-9946E01C8EAF}"/>
            </c:ext>
          </c:extLst>
        </c:ser>
        <c:ser>
          <c:idx val="1"/>
          <c:order val="1"/>
          <c:tx>
            <c:strRef>
              <c:f>Liste!$M$2</c:f>
              <c:strCache>
                <c:ptCount val="1"/>
                <c:pt idx="0">
                  <c:v>1998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Liste!$K$3:$K$11</c:f>
              <c:strCache>
                <c:ptCount val="9"/>
                <c:pt idx="0">
                  <c:v>Absturz</c:v>
                </c:pt>
                <c:pt idx="1">
                  <c:v>Brand und Explosion</c:v>
                </c:pt>
                <c:pt idx="2">
                  <c:v>Gefahrstoffe</c:v>
                </c:pt>
                <c:pt idx="3">
                  <c:v>Elektrische Anlagen</c:v>
                </c:pt>
                <c:pt idx="4">
                  <c:v>Erfasst und getroffen werden</c:v>
                </c:pt>
                <c:pt idx="5">
                  <c:v>Spitze, scharfkantige Gegenstände</c:v>
                </c:pt>
                <c:pt idx="6">
                  <c:v>Stolpern / Rutschen / Stürzen</c:v>
                </c:pt>
                <c:pt idx="7">
                  <c:v>Ungeschützt bewegte Maschinenteile</c:v>
                </c:pt>
                <c:pt idx="8">
                  <c:v>Unkontrolliert bewegte Teile</c:v>
                </c:pt>
              </c:strCache>
            </c:strRef>
          </c:cat>
          <c:val>
            <c:numRef>
              <c:f>Liste!$M$3:$M$11</c:f>
              <c:numCache>
                <c:formatCode>General</c:formatCode>
                <c:ptCount val="9"/>
                <c:pt idx="0">
                  <c:v>8</c:v>
                </c:pt>
                <c:pt idx="1">
                  <c:v>5</c:v>
                </c:pt>
                <c:pt idx="2">
                  <c:v>0</c:v>
                </c:pt>
                <c:pt idx="3">
                  <c:v>7</c:v>
                </c:pt>
                <c:pt idx="4">
                  <c:v>4</c:v>
                </c:pt>
                <c:pt idx="5">
                  <c:v>8</c:v>
                </c:pt>
                <c:pt idx="6">
                  <c:v>3</c:v>
                </c:pt>
                <c:pt idx="7">
                  <c:v>2</c:v>
                </c:pt>
                <c:pt idx="8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27-4DEF-8110-9946E01C8EAF}"/>
            </c:ext>
          </c:extLst>
        </c:ser>
        <c:ser>
          <c:idx val="2"/>
          <c:order val="2"/>
          <c:tx>
            <c:strRef>
              <c:f>Liste!$N$2</c:f>
              <c:strCache>
                <c:ptCount val="1"/>
                <c:pt idx="0">
                  <c:v>1999</c:v>
                </c:pt>
              </c:strCache>
            </c:strRef>
          </c:tx>
          <c:invertIfNegative val="0"/>
          <c:val>
            <c:numRef>
              <c:f>Liste!$N$3:$N$11</c:f>
              <c:numCache>
                <c:formatCode>General</c:formatCode>
                <c:ptCount val="9"/>
                <c:pt idx="0">
                  <c:v>4</c:v>
                </c:pt>
                <c:pt idx="1">
                  <c:v>11</c:v>
                </c:pt>
                <c:pt idx="2">
                  <c:v>6</c:v>
                </c:pt>
                <c:pt idx="3">
                  <c:v>3</c:v>
                </c:pt>
                <c:pt idx="4">
                  <c:v>8</c:v>
                </c:pt>
                <c:pt idx="5">
                  <c:v>2</c:v>
                </c:pt>
                <c:pt idx="6">
                  <c:v>5</c:v>
                </c:pt>
                <c:pt idx="7">
                  <c:v>1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F4-4961-AB97-4B626B2BE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46604639"/>
        <c:axId val="1"/>
        <c:axId val="0"/>
      </c:bar3DChart>
      <c:catAx>
        <c:axId val="4466046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44660463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238790954050452"/>
          <c:y val="0.95611814734769507"/>
          <c:w val="9.8540200723084781E-2"/>
          <c:h val="3.88185619616543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Auswertung der Unfallzahlen - Ausfalltage</a:t>
            </a:r>
          </a:p>
        </c:rich>
      </c:tx>
      <c:layout>
        <c:manualLayout>
          <c:xMode val="edge"/>
          <c:yMode val="edge"/>
          <c:x val="0.34479168206164013"/>
          <c:y val="2.0201953978364377E-2"/>
        </c:manualLayout>
      </c:layout>
      <c:overlay val="0"/>
      <c:spPr>
        <a:noFill/>
        <a:ln w="25400">
          <a:noFill/>
        </a:ln>
      </c:spPr>
    </c:title>
    <c:autoTitleDeleted val="0"/>
    <c:view3D>
      <c:rotX val="10"/>
      <c:hPercent val="52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2.7083333333333334E-2"/>
          <c:y val="0.1111111111111111"/>
          <c:w val="0.96250000000000002"/>
          <c:h val="0.7676767676767676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Liste!$L$15</c:f>
              <c:strCache>
                <c:ptCount val="1"/>
                <c:pt idx="0">
                  <c:v>1997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Liste!$K$16:$K$26</c:f>
              <c:strCache>
                <c:ptCount val="11"/>
                <c:pt idx="0">
                  <c:v>1 Tag</c:v>
                </c:pt>
                <c:pt idx="1">
                  <c:v>2 Tage</c:v>
                </c:pt>
                <c:pt idx="2">
                  <c:v>3 Tage</c:v>
                </c:pt>
                <c:pt idx="3">
                  <c:v>4 Tage</c:v>
                </c:pt>
                <c:pt idx="4">
                  <c:v>5 Tage</c:v>
                </c:pt>
                <c:pt idx="5">
                  <c:v>6 Tage</c:v>
                </c:pt>
                <c:pt idx="6">
                  <c:v>7 Tage</c:v>
                </c:pt>
                <c:pt idx="7">
                  <c:v>8 bis 14 Tage</c:v>
                </c:pt>
                <c:pt idx="8">
                  <c:v>15 bis 30 Tage</c:v>
                </c:pt>
                <c:pt idx="9">
                  <c:v>31-42 Tage</c:v>
                </c:pt>
                <c:pt idx="10">
                  <c:v>über 6 Wochen</c:v>
                </c:pt>
              </c:strCache>
            </c:strRef>
          </c:cat>
          <c:val>
            <c:numRef>
              <c:f>Liste!$L$16:$L$26</c:f>
              <c:numCache>
                <c:formatCode>General</c:formatCode>
                <c:ptCount val="11"/>
                <c:pt idx="0">
                  <c:v>7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6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B-4A70-B9EF-98B13D53020E}"/>
            </c:ext>
          </c:extLst>
        </c:ser>
        <c:ser>
          <c:idx val="1"/>
          <c:order val="1"/>
          <c:tx>
            <c:strRef>
              <c:f>Liste!$M$15</c:f>
              <c:strCache>
                <c:ptCount val="1"/>
                <c:pt idx="0">
                  <c:v>1998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Liste!$M$16:$M$26</c:f>
              <c:numCache>
                <c:formatCode>General</c:formatCode>
                <c:ptCount val="11"/>
                <c:pt idx="0">
                  <c:v>2</c:v>
                </c:pt>
                <c:pt idx="1">
                  <c:v>5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8B-4A70-B9EF-98B13D53020E}"/>
            </c:ext>
          </c:extLst>
        </c:ser>
        <c:ser>
          <c:idx val="2"/>
          <c:order val="2"/>
          <c:tx>
            <c:strRef>
              <c:f>Liste!$N$15</c:f>
              <c:strCache>
                <c:ptCount val="1"/>
                <c:pt idx="0">
                  <c:v>1999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Liste!$N$16:$N$26</c:f>
              <c:numCache>
                <c:formatCode>General</c:formatCode>
                <c:ptCount val="11"/>
                <c:pt idx="0">
                  <c:v>7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8B-4A70-B9EF-98B13D530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40855551"/>
        <c:axId val="1"/>
        <c:axId val="0"/>
      </c:bar3DChart>
      <c:catAx>
        <c:axId val="4408555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44085555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9885302658335592"/>
          <c:y val="0.95611814734769507"/>
          <c:w val="0.145985401459854"/>
          <c:h val="3.88185619616543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Auswertung der Unfallzahlen - Betriebsbereiche</a:t>
            </a:r>
          </a:p>
        </c:rich>
      </c:tx>
      <c:layout>
        <c:manualLayout>
          <c:xMode val="edge"/>
          <c:yMode val="edge"/>
          <c:x val="0.32083332649112289"/>
          <c:y val="2.0201953978364377E-2"/>
        </c:manualLayout>
      </c:layout>
      <c:overlay val="0"/>
      <c:spPr>
        <a:noFill/>
        <a:ln w="25400">
          <a:noFill/>
        </a:ln>
      </c:spPr>
    </c:title>
    <c:autoTitleDeleted val="0"/>
    <c:view3D>
      <c:rotX val="10"/>
      <c:hPercent val="52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3.6458333333333336E-2"/>
          <c:y val="0.10437710437710437"/>
          <c:w val="0.953125"/>
          <c:h val="0.7727272727272727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Liste!$L$31</c:f>
              <c:strCache>
                <c:ptCount val="1"/>
                <c:pt idx="0">
                  <c:v>1997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Liste!$K$32:$K$35</c:f>
              <c:strCache>
                <c:ptCount val="4"/>
                <c:pt idx="0">
                  <c:v>Verwaltung</c:v>
                </c:pt>
                <c:pt idx="1">
                  <c:v>Bauhof</c:v>
                </c:pt>
                <c:pt idx="2">
                  <c:v>Fuhrpark</c:v>
                </c:pt>
                <c:pt idx="3">
                  <c:v>Baustelle</c:v>
                </c:pt>
              </c:strCache>
            </c:strRef>
          </c:cat>
          <c:val>
            <c:numRef>
              <c:f>Liste!$L$32:$L$35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13</c:v>
                </c:pt>
                <c:pt idx="3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EC-44BA-8BE9-BB7934E8F9E7}"/>
            </c:ext>
          </c:extLst>
        </c:ser>
        <c:ser>
          <c:idx val="1"/>
          <c:order val="1"/>
          <c:tx>
            <c:strRef>
              <c:f>Liste!$M$31</c:f>
              <c:strCache>
                <c:ptCount val="1"/>
                <c:pt idx="0">
                  <c:v>1998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Liste!$K$32:$K$35</c:f>
              <c:strCache>
                <c:ptCount val="4"/>
                <c:pt idx="0">
                  <c:v>Verwaltung</c:v>
                </c:pt>
                <c:pt idx="1">
                  <c:v>Bauhof</c:v>
                </c:pt>
                <c:pt idx="2">
                  <c:v>Fuhrpark</c:v>
                </c:pt>
                <c:pt idx="3">
                  <c:v>Baustelle</c:v>
                </c:pt>
              </c:strCache>
            </c:strRef>
          </c:cat>
          <c:val>
            <c:numRef>
              <c:f>Liste!$M$32:$M$35</c:f>
              <c:numCache>
                <c:formatCode>General</c:formatCode>
                <c:ptCount val="4"/>
                <c:pt idx="0">
                  <c:v>10</c:v>
                </c:pt>
                <c:pt idx="1">
                  <c:v>8</c:v>
                </c:pt>
                <c:pt idx="2">
                  <c:v>11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EC-44BA-8BE9-BB7934E8F9E7}"/>
            </c:ext>
          </c:extLst>
        </c:ser>
        <c:ser>
          <c:idx val="2"/>
          <c:order val="2"/>
          <c:tx>
            <c:strRef>
              <c:f>Liste!$N$31</c:f>
              <c:strCache>
                <c:ptCount val="1"/>
                <c:pt idx="0">
                  <c:v>1999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Liste!$K$32:$K$35</c:f>
              <c:strCache>
                <c:ptCount val="4"/>
                <c:pt idx="0">
                  <c:v>Verwaltung</c:v>
                </c:pt>
                <c:pt idx="1">
                  <c:v>Bauhof</c:v>
                </c:pt>
                <c:pt idx="2">
                  <c:v>Fuhrpark</c:v>
                </c:pt>
                <c:pt idx="3">
                  <c:v>Baustelle</c:v>
                </c:pt>
              </c:strCache>
            </c:strRef>
          </c:cat>
          <c:val>
            <c:numRef>
              <c:f>Liste!$N$32:$N$35</c:f>
              <c:numCache>
                <c:formatCode>General</c:formatCode>
                <c:ptCount val="4"/>
                <c:pt idx="0">
                  <c:v>12</c:v>
                </c:pt>
                <c:pt idx="1">
                  <c:v>13</c:v>
                </c:pt>
                <c:pt idx="2">
                  <c:v>9</c:v>
                </c:pt>
                <c:pt idx="3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EC-44BA-8BE9-BB7934E8F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46596479"/>
        <c:axId val="1"/>
        <c:axId val="0"/>
      </c:bar3DChart>
      <c:catAx>
        <c:axId val="446596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44659647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9885302658335592"/>
          <c:y val="0.95611814734769507"/>
          <c:w val="0.145985401459854"/>
          <c:h val="3.88185619616543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Diagramm1"/>
  <sheetViews>
    <sheetView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Diagramm2"/>
  <sheetViews>
    <sheetView workbookViewId="0"/>
  </sheetViews>
  <pageMargins left="0.78740157499999996" right="0.78740157499999996" top="0.984251969" bottom="0.984251969" header="0.4921259845" footer="0.4921259845"/>
  <headerFooter alignWithMargins="0"/>
  <drawing r:id="rId1"/>
  <legacy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Diagramm3"/>
  <sheetViews>
    <sheetView tabSelected="1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chartsheet>
</file>

<file path=xl/ctrlProps/ctrlProp1.xml><?xml version="1.0" encoding="utf-8"?>
<formControlPr xmlns="http://schemas.microsoft.com/office/spreadsheetml/2009/9/main" objectType="Drop" dropLines="7" dropStyle="combo" dx="39" fmlaLink="'Art-Bereich-Tage'!$H$4" fmlaRange="'Art-Bereich-Tage'!$C$2:$C$5" noThreeD="1" sel="0" val="0"/>
</file>

<file path=xl/ctrlProps/ctrlProp2.xml><?xml version="1.0" encoding="utf-8"?>
<formControlPr xmlns="http://schemas.microsoft.com/office/spreadsheetml/2009/9/main" objectType="Drop" dropLines="7" dropStyle="combo" dx="39" fmlaLink="'Art-Bereich-Tage'!$H$2" fmlaRange="'Art-Bereich-Tage'!$A$2:$A$10" noThreeD="1" sel="0" val="0"/>
</file>

<file path=xl/ctrlProps/ctrlProp3.xml><?xml version="1.0" encoding="utf-8"?>
<formControlPr xmlns="http://schemas.microsoft.com/office/spreadsheetml/2009/9/main" objectType="Drop" dropLines="7" dropStyle="combo" dx="39" fmlaLink="'Art-Bereich-Tage'!$H$3" fmlaRange="'Art-Bereich-Tage'!$B$2:$B$12" noThreeD="1" sel="0" val="4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10" dropStyle="combo" dx="39" fmlaRange="'Art-Bereich-Tage'!$D$2:$D$32" noThreeD="1" sel="8" val="15"/>
</file>

<file path=xl/ctrlProps/ctrlProp6.xml><?xml version="1.0" encoding="utf-8"?>
<formControlPr xmlns="http://schemas.microsoft.com/office/spreadsheetml/2009/9/main" objectType="Drop" dropStyle="combo" dx="39" fmlaRange="'Art-Bereich-Tage'!$E$2:$E$13" noThreeD="1" sel="3" val="0"/>
</file>

<file path=xl/ctrlProps/ctrlProp7.xml><?xml version="1.0" encoding="utf-8"?>
<formControlPr xmlns="http://schemas.microsoft.com/office/spreadsheetml/2009/9/main" objectType="Drop" dropLines="10" dropStyle="combo" dx="39" fmlaRange="'Art-Bereich-Tage'!$F$2:$F$42" noThreeD="1" sel="39" val="3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7" dropStyle="combo" dx="39" fmlaLink="'Art-Bereich-Tage'!$H$5" fmlaRange="'Art-Bereich-Tage'!$G$2:$G$3" noThreeD="1" sel="1" val="0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19050</xdr:colOff>
          <xdr:row>9</xdr:row>
          <xdr:rowOff>9525</xdr:rowOff>
        </xdr:to>
        <xdr:sp macro="" textlink="">
          <xdr:nvSpPr>
            <xdr:cNvPr id="1025" name="Bereic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166688</xdr:rowOff>
        </xdr:from>
        <xdr:to>
          <xdr:col>3</xdr:col>
          <xdr:colOff>19050</xdr:colOff>
          <xdr:row>5</xdr:row>
          <xdr:rowOff>0</xdr:rowOff>
        </xdr:to>
        <xdr:sp macro="" textlink="">
          <xdr:nvSpPr>
            <xdr:cNvPr id="1026" name="Unfalla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19050</xdr:colOff>
          <xdr:row>7</xdr:row>
          <xdr:rowOff>9525</xdr:rowOff>
        </xdr:to>
        <xdr:sp macro="" textlink="">
          <xdr:nvSpPr>
            <xdr:cNvPr id="1027" name="Ausfallta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19050</xdr:colOff>
          <xdr:row>11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Unfalldaten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490538</xdr:colOff>
          <xdr:row>3</xdr:row>
          <xdr:rowOff>9525</xdr:rowOff>
        </xdr:to>
        <xdr:sp macro="" textlink="">
          <xdr:nvSpPr>
            <xdr:cNvPr id="1031" name="Tag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490538</xdr:colOff>
          <xdr:row>2</xdr:row>
          <xdr:rowOff>0</xdr:rowOff>
        </xdr:from>
        <xdr:to>
          <xdr:col>2</xdr:col>
          <xdr:colOff>1528763</xdr:colOff>
          <xdr:row>3</xdr:row>
          <xdr:rowOff>9525</xdr:rowOff>
        </xdr:to>
        <xdr:sp macro="" textlink="">
          <xdr:nvSpPr>
            <xdr:cNvPr id="1034" name="Monat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1528763</xdr:colOff>
          <xdr:row>2</xdr:row>
          <xdr:rowOff>0</xdr:rowOff>
        </xdr:from>
        <xdr:to>
          <xdr:col>3</xdr:col>
          <xdr:colOff>9525</xdr:colOff>
          <xdr:row>3</xdr:row>
          <xdr:rowOff>9525</xdr:rowOff>
        </xdr:to>
        <xdr:sp macro="" textlink="">
          <xdr:nvSpPr>
            <xdr:cNvPr id="1035" name="Jah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161925</xdr:rowOff>
        </xdr:from>
        <xdr:to>
          <xdr:col>3</xdr:col>
          <xdr:colOff>19050</xdr:colOff>
          <xdr:row>13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gespeicherte Unfalldaten zeigen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142875</xdr:rowOff>
        </xdr:from>
        <xdr:to>
          <xdr:col>3</xdr:col>
          <xdr:colOff>19050</xdr:colOff>
          <xdr:row>15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Diagramm: Unfallursachen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114300</xdr:rowOff>
        </xdr:from>
        <xdr:to>
          <xdr:col>3</xdr:col>
          <xdr:colOff>19050</xdr:colOff>
          <xdr:row>16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Diagramm: Ausfalltage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85725</xdr:rowOff>
        </xdr:from>
        <xdr:to>
          <xdr:col>3</xdr:col>
          <xdr:colOff>19050</xdr:colOff>
          <xdr:row>18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Diagramm: Betriebsbereiche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166688</xdr:rowOff>
        </xdr:from>
        <xdr:to>
          <xdr:col>6</xdr:col>
          <xdr:colOff>9525</xdr:colOff>
          <xdr:row>5</xdr:row>
          <xdr:rowOff>0</xdr:rowOff>
        </xdr:to>
        <xdr:sp macro="" textlink="">
          <xdr:nvSpPr>
            <xdr:cNvPr id="1043" name="toedlich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95250</xdr:rowOff>
        </xdr:from>
        <xdr:to>
          <xdr:col>6</xdr:col>
          <xdr:colOff>685800</xdr:colOff>
          <xdr:row>2</xdr:row>
          <xdr:rowOff>109538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zur Eingabe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139238" cy="564832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0.2475</cdr:x>
      <cdr:y>0.96147</cdr:y>
    </cdr:from>
    <cdr:to>
      <cdr:x>0.26927</cdr:x>
      <cdr:y>0.99775</cdr:y>
    </cdr:to>
    <cdr:sp macro="" textlink="Liste!$O$12">
      <cdr:nvSpPr>
        <cdr:cNvPr id="4098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260783" y="5426129"/>
          <a:ext cx="198901" cy="2047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fld id="{8570FAE4-D611-4A76-A885-A851AE4874D1}" type="TxLink"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131</a:t>
          </a:fld>
          <a:endParaRPr lang="de-DE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0.05407</cdr:x>
      <cdr:y>0.96063</cdr:y>
    </cdr:from>
    <cdr:to>
      <cdr:x>0.24904</cdr:x>
      <cdr:y>0.99691</cdr:y>
    </cdr:to>
    <cdr:sp macro="" textlink="">
      <cdr:nvSpPr>
        <cdr:cNvPr id="4099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142" y="5425933"/>
          <a:ext cx="1781877" cy="20492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Gesamtzahl der Unfälle: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1638" cy="6005513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0.22767</cdr:x>
      <cdr:y>0.96147</cdr:y>
    </cdr:from>
    <cdr:to>
      <cdr:x>0.25598</cdr:x>
      <cdr:y>0.99775</cdr:y>
    </cdr:to>
    <cdr:sp macro="" textlink="Liste!$O$27">
      <cdr:nvSpPr>
        <cdr:cNvPr id="6146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115389" y="5774121"/>
          <a:ext cx="263123" cy="21788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fld id="{8DD75B83-3EA0-4073-841B-17C21F7EFB17}" type="TxLink"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131</a:t>
          </a:fld>
          <a:endParaRPr lang="de-DE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0.03453</cdr:x>
      <cdr:y>0.96147</cdr:y>
    </cdr:from>
    <cdr:to>
      <cdr:x>0.2295</cdr:x>
      <cdr:y>0.99775</cdr:y>
    </cdr:to>
    <cdr:sp macro="" textlink="">
      <cdr:nvSpPr>
        <cdr:cNvPr id="614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0880" y="5774121"/>
          <a:ext cx="1811591" cy="21788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Gesamtzahl der Unfälle: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139238" cy="564832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0.221</cdr:x>
      <cdr:y>0.96147</cdr:y>
    </cdr:from>
    <cdr:to>
      <cdr:x>0.25215</cdr:x>
      <cdr:y>0.99775</cdr:y>
    </cdr:to>
    <cdr:sp macro="" textlink="Liste!$O$36">
      <cdr:nvSpPr>
        <cdr:cNvPr id="10242" name="Text Box 2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2018719" y="5426129"/>
          <a:ext cx="284501" cy="2047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fld id="{5C58032B-7821-47FE-B596-506C7EFD14BC}" type="TxLink"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pPr algn="l" rtl="0">
              <a:defRPr sz="1000"/>
            </a:pPr>
            <a:t>131</a:t>
          </a:fld>
          <a:endParaRPr lang="de-DE" sz="12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0.03013</cdr:x>
      <cdr:y>0.96231</cdr:y>
    </cdr:from>
    <cdr:to>
      <cdr:x>0.2251</cdr:x>
      <cdr:y>0.99859</cdr:y>
    </cdr:to>
    <cdr:sp macro="" textlink="">
      <cdr:nvSpPr>
        <cdr:cNvPr id="10243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5379" y="5435458"/>
          <a:ext cx="1781877" cy="20492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txBody>
        <a:bodyPr xmlns:a="http://schemas.openxmlformats.org/drawingml/2006/main" wrap="none" lIns="27432" tIns="0" rIns="0" bIns="27432" anchor="b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de-DE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Gesamtzahl der Unfälle:</a:t>
          </a:r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3"/>
  <sheetViews>
    <sheetView showGridLines="0" showRowColHeaders="0" workbookViewId="0">
      <selection activeCell="G12" sqref="G12"/>
    </sheetView>
  </sheetViews>
  <sheetFormatPr baseColWidth="10" defaultRowHeight="12.75" x14ac:dyDescent="0.35"/>
  <cols>
    <col min="1" max="1" width="21" customWidth="1"/>
    <col min="2" max="2" width="2.73046875" customWidth="1"/>
    <col min="3" max="3" width="34" customWidth="1"/>
    <col min="5" max="5" width="2.73046875" customWidth="1"/>
    <col min="6" max="6" width="20" customWidth="1"/>
  </cols>
  <sheetData>
    <row r="1" spans="1:6" ht="17.649999999999999" x14ac:dyDescent="0.5">
      <c r="A1" s="29" t="s">
        <v>51</v>
      </c>
      <c r="B1" s="21"/>
      <c r="C1" s="21"/>
      <c r="D1" s="22"/>
    </row>
    <row r="2" spans="1:6" ht="13.5" x14ac:dyDescent="0.35">
      <c r="A2" s="23"/>
      <c r="B2" s="21"/>
      <c r="C2" s="21"/>
      <c r="D2" s="21"/>
    </row>
    <row r="3" spans="1:6" ht="13.9" x14ac:dyDescent="0.4">
      <c r="A3" s="24" t="s">
        <v>13</v>
      </c>
      <c r="B3" s="21"/>
      <c r="C3" s="25">
        <v>37607</v>
      </c>
      <c r="D3" s="21"/>
    </row>
    <row r="4" spans="1:6" ht="13.9" x14ac:dyDescent="0.4">
      <c r="A4" s="24"/>
      <c r="B4" s="21"/>
      <c r="C4" s="21"/>
      <c r="D4" s="21"/>
    </row>
    <row r="5" spans="1:6" ht="13.9" x14ac:dyDescent="0.4">
      <c r="A5" s="24" t="s">
        <v>50</v>
      </c>
      <c r="B5" s="21"/>
      <c r="C5" s="21">
        <v>0</v>
      </c>
      <c r="D5" s="24" t="s">
        <v>54</v>
      </c>
    </row>
    <row r="6" spans="1:6" s="3" customFormat="1" ht="10.15" x14ac:dyDescent="0.3">
      <c r="A6" s="26"/>
      <c r="B6" s="27"/>
      <c r="C6" s="27"/>
      <c r="D6" s="27"/>
    </row>
    <row r="7" spans="1:6" s="1" customFormat="1" ht="13.9" x14ac:dyDescent="0.4">
      <c r="A7" s="24" t="s">
        <v>14</v>
      </c>
      <c r="B7" s="28"/>
      <c r="C7" s="28">
        <v>0</v>
      </c>
      <c r="D7" s="28"/>
      <c r="F7" s="1" t="s">
        <v>52</v>
      </c>
    </row>
    <row r="8" spans="1:6" s="3" customFormat="1" ht="10.15" x14ac:dyDescent="0.3">
      <c r="A8" s="26"/>
      <c r="B8" s="27"/>
      <c r="C8" s="27"/>
      <c r="D8" s="27"/>
      <c r="F8" s="3" t="s">
        <v>53</v>
      </c>
    </row>
    <row r="9" spans="1:6" ht="13.9" x14ac:dyDescent="0.4">
      <c r="A9" s="24" t="s">
        <v>15</v>
      </c>
      <c r="B9" s="21"/>
      <c r="C9" s="21">
        <v>0</v>
      </c>
      <c r="D9" s="21"/>
    </row>
    <row r="10" spans="1:6" ht="15" customHeight="1" x14ac:dyDescent="0.35">
      <c r="A10" s="2"/>
    </row>
    <row r="11" spans="1:6" ht="15" customHeight="1" x14ac:dyDescent="0.35"/>
    <row r="12" spans="1:6" ht="15" customHeight="1" x14ac:dyDescent="0.35"/>
    <row r="13" spans="1:6" ht="15" customHeight="1" x14ac:dyDescent="0.35"/>
    <row r="14" spans="1:6" ht="15" customHeight="1" x14ac:dyDescent="0.35"/>
    <row r="15" spans="1:6" ht="15" customHeight="1" x14ac:dyDescent="0.35"/>
    <row r="16" spans="1:6" ht="15" customHeight="1" x14ac:dyDescent="0.35"/>
    <row r="17" ht="15" customHeight="1" x14ac:dyDescent="0.35"/>
    <row r="18" ht="15" customHeight="1" x14ac:dyDescent="0.35"/>
    <row r="19" ht="15" customHeight="1" x14ac:dyDescent="0.35"/>
    <row r="20" ht="15" customHeight="1" x14ac:dyDescent="0.35"/>
    <row r="21" ht="15" customHeight="1" x14ac:dyDescent="0.35"/>
    <row r="22" ht="15" customHeight="1" x14ac:dyDescent="0.35"/>
    <row r="23" ht="15" customHeight="1" x14ac:dyDescent="0.35"/>
  </sheetData>
  <sheetProtection sheet="1" objects="1" scenarios="1" selectLockedCells="1" selectUnlockedCells="1"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ereich">
              <controlPr defaultSize="0" autoLine="0" autoPict="0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19050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nfallart">
              <controlPr defaultSize="0" autoLine="0" autoPict="0">
                <anchor moveWithCells="1">
                  <from>
                    <xdr:col>2</xdr:col>
                    <xdr:colOff>0</xdr:colOff>
                    <xdr:row>3</xdr:row>
                    <xdr:rowOff>166688</xdr:rowOff>
                  </from>
                  <to>
                    <xdr:col>3</xdr:col>
                    <xdr:colOff>19050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Ausfalltage">
              <controlPr defaultSize="0" autoLine="0" autoPict="0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3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Data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19050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Tag">
              <controlPr defaultSize="0" autoLine="0" autoPict="0" macro="[0]!Date_Change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2</xdr:col>
                    <xdr:colOff>490538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Monat">
              <controlPr defaultSize="0" autoLine="0" autoPict="0" macro="[0]!Date_Change">
                <anchor moveWithCells="1">
                  <from>
                    <xdr:col>2</xdr:col>
                    <xdr:colOff>490538</xdr:colOff>
                    <xdr:row>2</xdr:row>
                    <xdr:rowOff>0</xdr:rowOff>
                  </from>
                  <to>
                    <xdr:col>2</xdr:col>
                    <xdr:colOff>1528763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Jahr">
              <controlPr defaultSize="0" autoLine="0" autoPict="0" macro="[0]!Date_Change">
                <anchor moveWithCells="1">
                  <from>
                    <xdr:col>2</xdr:col>
                    <xdr:colOff>1528763</xdr:colOff>
                    <xdr:row>2</xdr:row>
                    <xdr:rowOff>0</xdr:rowOff>
                  </from>
                  <to>
                    <xdr:col>3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Show_List">
                <anchor moveWithCells="1">
                  <from>
                    <xdr:col>2</xdr:col>
                    <xdr:colOff>0</xdr:colOff>
                    <xdr:row>11</xdr:row>
                    <xdr:rowOff>161925</xdr:rowOff>
                  </from>
                  <to>
                    <xdr:col>3</xdr:col>
                    <xdr:colOff>19050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Dia_Art">
                <anchor moveWithCells="1">
                  <from>
                    <xdr:col>2</xdr:col>
                    <xdr:colOff>0</xdr:colOff>
                    <xdr:row>13</xdr:row>
                    <xdr:rowOff>142875</xdr:rowOff>
                  </from>
                  <to>
                    <xdr:col>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Dia_Tage">
                <anchor moveWithCells="1">
                  <from>
                    <xdr:col>2</xdr:col>
                    <xdr:colOff>0</xdr:colOff>
                    <xdr:row>15</xdr:row>
                    <xdr:rowOff>114300</xdr:rowOff>
                  </from>
                  <to>
                    <xdr:col>3</xdr:col>
                    <xdr:colOff>19050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Dia_Bereich">
                <anchor moveWithCells="1">
                  <from>
                    <xdr:col>2</xdr:col>
                    <xdr:colOff>0</xdr:colOff>
                    <xdr:row>17</xdr:row>
                    <xdr:rowOff>85725</xdr:rowOff>
                  </from>
                  <to>
                    <xdr:col>3</xdr:col>
                    <xdr:colOff>19050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toedlich">
              <controlPr defaultSize="0" autoLine="0" autoPict="0" macro="[0]!Deadly_Change">
                <anchor moveWithCells="1">
                  <from>
                    <xdr:col>5</xdr:col>
                    <xdr:colOff>0</xdr:colOff>
                    <xdr:row>3</xdr:row>
                    <xdr:rowOff>166688</xdr:rowOff>
                  </from>
                  <to>
                    <xdr:col>6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47"/>
  <sheetViews>
    <sheetView workbookViewId="0">
      <selection activeCell="H35" sqref="H35"/>
    </sheetView>
  </sheetViews>
  <sheetFormatPr baseColWidth="10" defaultRowHeight="13.5" x14ac:dyDescent="0.35"/>
  <cols>
    <col min="1" max="1" width="37.265625" style="1" customWidth="1"/>
    <col min="2" max="2" width="15.73046875" style="1" customWidth="1"/>
    <col min="3" max="3" width="21.1328125" style="1" customWidth="1"/>
    <col min="4" max="4" width="5.59765625" customWidth="1"/>
    <col min="5" max="5" width="10.59765625" customWidth="1"/>
    <col min="6" max="6" width="5.73046875" customWidth="1"/>
  </cols>
  <sheetData>
    <row r="1" spans="1:8" ht="13.9" x14ac:dyDescent="0.4">
      <c r="A1" s="4" t="s">
        <v>3</v>
      </c>
      <c r="B1" s="4" t="s">
        <v>1</v>
      </c>
      <c r="C1" s="4" t="s">
        <v>2</v>
      </c>
      <c r="D1" s="4" t="s">
        <v>16</v>
      </c>
      <c r="E1" s="4" t="s">
        <v>17</v>
      </c>
      <c r="F1" s="4" t="s">
        <v>18</v>
      </c>
      <c r="G1" s="20" t="s">
        <v>48</v>
      </c>
      <c r="H1" s="12">
        <v>45359</v>
      </c>
    </row>
    <row r="2" spans="1:8" x14ac:dyDescent="0.35">
      <c r="A2" s="1" t="s">
        <v>37</v>
      </c>
      <c r="B2" s="1" t="s">
        <v>6</v>
      </c>
      <c r="C2" s="1" t="s">
        <v>4</v>
      </c>
      <c r="D2">
        <v>1</v>
      </c>
      <c r="E2" t="s">
        <v>19</v>
      </c>
      <c r="F2">
        <v>1980</v>
      </c>
      <c r="G2" t="s">
        <v>46</v>
      </c>
      <c r="H2" s="11">
        <v>0</v>
      </c>
    </row>
    <row r="3" spans="1:8" x14ac:dyDescent="0.35">
      <c r="A3" s="1" t="s">
        <v>38</v>
      </c>
      <c r="B3" s="1" t="s">
        <v>7</v>
      </c>
      <c r="C3" s="1" t="s">
        <v>34</v>
      </c>
      <c r="D3">
        <f>D2+1</f>
        <v>2</v>
      </c>
      <c r="E3" t="s">
        <v>20</v>
      </c>
      <c r="F3">
        <f>F2+1</f>
        <v>1981</v>
      </c>
      <c r="G3" t="s">
        <v>47</v>
      </c>
      <c r="H3" s="11">
        <v>0</v>
      </c>
    </row>
    <row r="4" spans="1:8" x14ac:dyDescent="0.35">
      <c r="A4" s="1" t="s">
        <v>39</v>
      </c>
      <c r="B4" s="1" t="s">
        <v>8</v>
      </c>
      <c r="C4" s="1" t="s">
        <v>35</v>
      </c>
      <c r="D4">
        <f t="shared" ref="D4:D32" si="0">D3+1</f>
        <v>3</v>
      </c>
      <c r="E4" t="s">
        <v>21</v>
      </c>
      <c r="F4">
        <f t="shared" ref="F4:F31" si="1">F3+1</f>
        <v>1982</v>
      </c>
      <c r="H4" s="11">
        <v>0</v>
      </c>
    </row>
    <row r="5" spans="1:8" x14ac:dyDescent="0.35">
      <c r="A5" s="1" t="s">
        <v>40</v>
      </c>
      <c r="B5" s="1" t="s">
        <v>9</v>
      </c>
      <c r="C5" s="1" t="s">
        <v>36</v>
      </c>
      <c r="D5">
        <f t="shared" si="0"/>
        <v>4</v>
      </c>
      <c r="E5" t="s">
        <v>22</v>
      </c>
      <c r="F5">
        <f t="shared" si="1"/>
        <v>1983</v>
      </c>
      <c r="H5" s="11">
        <v>1</v>
      </c>
    </row>
    <row r="6" spans="1:8" x14ac:dyDescent="0.35">
      <c r="A6" s="1" t="s">
        <v>41</v>
      </c>
      <c r="B6" s="1" t="s">
        <v>10</v>
      </c>
      <c r="D6">
        <f t="shared" si="0"/>
        <v>5</v>
      </c>
      <c r="E6" t="s">
        <v>23</v>
      </c>
      <c r="F6">
        <f t="shared" si="1"/>
        <v>1984</v>
      </c>
    </row>
    <row r="7" spans="1:8" x14ac:dyDescent="0.35">
      <c r="A7" s="1" t="s">
        <v>42</v>
      </c>
      <c r="B7" s="1" t="s">
        <v>11</v>
      </c>
      <c r="D7">
        <f t="shared" si="0"/>
        <v>6</v>
      </c>
      <c r="E7" t="s">
        <v>24</v>
      </c>
      <c r="F7">
        <f t="shared" si="1"/>
        <v>1985</v>
      </c>
    </row>
    <row r="8" spans="1:8" x14ac:dyDescent="0.35">
      <c r="A8" s="1" t="s">
        <v>45</v>
      </c>
      <c r="B8" s="1" t="s">
        <v>12</v>
      </c>
      <c r="D8">
        <f t="shared" si="0"/>
        <v>7</v>
      </c>
      <c r="E8" t="s">
        <v>25</v>
      </c>
      <c r="F8">
        <f t="shared" si="1"/>
        <v>1986</v>
      </c>
    </row>
    <row r="9" spans="1:8" x14ac:dyDescent="0.35">
      <c r="A9" s="1" t="s">
        <v>43</v>
      </c>
      <c r="B9" s="1" t="s">
        <v>31</v>
      </c>
      <c r="D9">
        <f t="shared" si="0"/>
        <v>8</v>
      </c>
      <c r="E9" t="s">
        <v>26</v>
      </c>
      <c r="F9">
        <f t="shared" si="1"/>
        <v>1987</v>
      </c>
    </row>
    <row r="10" spans="1:8" x14ac:dyDescent="0.35">
      <c r="A10" s="1" t="s">
        <v>44</v>
      </c>
      <c r="B10" s="1" t="s">
        <v>32</v>
      </c>
      <c r="D10">
        <f t="shared" si="0"/>
        <v>9</v>
      </c>
      <c r="E10" t="s">
        <v>27</v>
      </c>
      <c r="F10">
        <f t="shared" si="1"/>
        <v>1988</v>
      </c>
    </row>
    <row r="11" spans="1:8" x14ac:dyDescent="0.35">
      <c r="B11" s="1" t="s">
        <v>33</v>
      </c>
      <c r="D11">
        <f t="shared" si="0"/>
        <v>10</v>
      </c>
      <c r="E11" t="s">
        <v>28</v>
      </c>
      <c r="F11">
        <f t="shared" si="1"/>
        <v>1989</v>
      </c>
    </row>
    <row r="12" spans="1:8" x14ac:dyDescent="0.35">
      <c r="B12" s="1" t="s">
        <v>5</v>
      </c>
      <c r="D12">
        <f t="shared" si="0"/>
        <v>11</v>
      </c>
      <c r="E12" t="s">
        <v>29</v>
      </c>
      <c r="F12">
        <f t="shared" si="1"/>
        <v>1990</v>
      </c>
    </row>
    <row r="13" spans="1:8" x14ac:dyDescent="0.35">
      <c r="D13">
        <f t="shared" si="0"/>
        <v>12</v>
      </c>
      <c r="E13" t="s">
        <v>30</v>
      </c>
      <c r="F13">
        <f t="shared" si="1"/>
        <v>1991</v>
      </c>
    </row>
    <row r="14" spans="1:8" x14ac:dyDescent="0.35">
      <c r="D14">
        <f t="shared" si="0"/>
        <v>13</v>
      </c>
      <c r="F14">
        <f t="shared" si="1"/>
        <v>1992</v>
      </c>
    </row>
    <row r="15" spans="1:8" x14ac:dyDescent="0.35">
      <c r="D15">
        <f t="shared" si="0"/>
        <v>14</v>
      </c>
      <c r="F15">
        <f t="shared" si="1"/>
        <v>1993</v>
      </c>
    </row>
    <row r="16" spans="1:8" x14ac:dyDescent="0.35">
      <c r="D16">
        <f t="shared" si="0"/>
        <v>15</v>
      </c>
      <c r="F16">
        <f t="shared" si="1"/>
        <v>1994</v>
      </c>
    </row>
    <row r="17" spans="1:6" x14ac:dyDescent="0.35">
      <c r="D17">
        <f t="shared" si="0"/>
        <v>16</v>
      </c>
      <c r="F17">
        <f t="shared" si="1"/>
        <v>1995</v>
      </c>
    </row>
    <row r="18" spans="1:6" x14ac:dyDescent="0.35">
      <c r="D18">
        <f t="shared" si="0"/>
        <v>17</v>
      </c>
      <c r="F18">
        <f t="shared" si="1"/>
        <v>1996</v>
      </c>
    </row>
    <row r="19" spans="1:6" x14ac:dyDescent="0.35">
      <c r="D19">
        <f t="shared" si="0"/>
        <v>18</v>
      </c>
      <c r="F19">
        <f t="shared" si="1"/>
        <v>1997</v>
      </c>
    </row>
    <row r="20" spans="1:6" x14ac:dyDescent="0.35">
      <c r="D20">
        <f t="shared" si="0"/>
        <v>19</v>
      </c>
      <c r="F20">
        <f t="shared" si="1"/>
        <v>1998</v>
      </c>
    </row>
    <row r="21" spans="1:6" x14ac:dyDescent="0.35">
      <c r="D21">
        <f t="shared" si="0"/>
        <v>20</v>
      </c>
      <c r="F21">
        <f t="shared" si="1"/>
        <v>1999</v>
      </c>
    </row>
    <row r="22" spans="1:6" x14ac:dyDescent="0.35">
      <c r="D22">
        <f t="shared" si="0"/>
        <v>21</v>
      </c>
      <c r="F22">
        <f t="shared" si="1"/>
        <v>2000</v>
      </c>
    </row>
    <row r="23" spans="1:6" x14ac:dyDescent="0.35">
      <c r="D23">
        <f t="shared" si="0"/>
        <v>22</v>
      </c>
      <c r="F23">
        <f t="shared" si="1"/>
        <v>2001</v>
      </c>
    </row>
    <row r="24" spans="1:6" x14ac:dyDescent="0.35">
      <c r="D24">
        <f t="shared" si="0"/>
        <v>23</v>
      </c>
      <c r="F24">
        <f t="shared" si="1"/>
        <v>2002</v>
      </c>
    </row>
    <row r="25" spans="1:6" x14ac:dyDescent="0.35">
      <c r="D25">
        <f t="shared" si="0"/>
        <v>24</v>
      </c>
      <c r="F25">
        <f t="shared" si="1"/>
        <v>2003</v>
      </c>
    </row>
    <row r="26" spans="1:6" x14ac:dyDescent="0.35">
      <c r="D26">
        <f t="shared" si="0"/>
        <v>25</v>
      </c>
      <c r="F26">
        <f t="shared" si="1"/>
        <v>2004</v>
      </c>
    </row>
    <row r="27" spans="1:6" x14ac:dyDescent="0.35">
      <c r="D27">
        <f t="shared" si="0"/>
        <v>26</v>
      </c>
      <c r="F27">
        <f t="shared" si="1"/>
        <v>2005</v>
      </c>
    </row>
    <row r="28" spans="1:6" x14ac:dyDescent="0.35">
      <c r="D28">
        <f t="shared" si="0"/>
        <v>27</v>
      </c>
      <c r="F28">
        <f t="shared" si="1"/>
        <v>2006</v>
      </c>
    </row>
    <row r="29" spans="1:6" x14ac:dyDescent="0.35">
      <c r="D29">
        <f t="shared" si="0"/>
        <v>28</v>
      </c>
      <c r="F29">
        <f t="shared" si="1"/>
        <v>2007</v>
      </c>
    </row>
    <row r="30" spans="1:6" x14ac:dyDescent="0.35">
      <c r="A30" s="13"/>
      <c r="D30">
        <f t="shared" si="0"/>
        <v>29</v>
      </c>
      <c r="F30">
        <f t="shared" si="1"/>
        <v>2008</v>
      </c>
    </row>
    <row r="31" spans="1:6" x14ac:dyDescent="0.35">
      <c r="D31">
        <f t="shared" si="0"/>
        <v>30</v>
      </c>
      <c r="F31">
        <f t="shared" si="1"/>
        <v>2009</v>
      </c>
    </row>
    <row r="32" spans="1:6" x14ac:dyDescent="0.35">
      <c r="D32">
        <f t="shared" si="0"/>
        <v>31</v>
      </c>
      <c r="F32">
        <f>F31+1</f>
        <v>2010</v>
      </c>
    </row>
    <row r="33" spans="6:6" x14ac:dyDescent="0.35">
      <c r="F33">
        <v>2011</v>
      </c>
    </row>
    <row r="34" spans="6:6" x14ac:dyDescent="0.35">
      <c r="F34">
        <v>2012</v>
      </c>
    </row>
    <row r="35" spans="6:6" x14ac:dyDescent="0.35">
      <c r="F35">
        <v>2013</v>
      </c>
    </row>
    <row r="36" spans="6:6" x14ac:dyDescent="0.35">
      <c r="F36">
        <v>2014</v>
      </c>
    </row>
    <row r="37" spans="6:6" x14ac:dyDescent="0.35">
      <c r="F37">
        <v>2015</v>
      </c>
    </row>
    <row r="38" spans="6:6" x14ac:dyDescent="0.35">
      <c r="F38">
        <v>2016</v>
      </c>
    </row>
    <row r="39" spans="6:6" x14ac:dyDescent="0.35">
      <c r="F39">
        <v>2017</v>
      </c>
    </row>
    <row r="40" spans="6:6" x14ac:dyDescent="0.35">
      <c r="F40">
        <v>2018</v>
      </c>
    </row>
    <row r="41" spans="6:6" x14ac:dyDescent="0.35">
      <c r="F41">
        <v>2019</v>
      </c>
    </row>
    <row r="42" spans="6:6" x14ac:dyDescent="0.35">
      <c r="F42">
        <v>2020</v>
      </c>
    </row>
    <row r="43" spans="6:6" x14ac:dyDescent="0.35">
      <c r="F43">
        <v>2021</v>
      </c>
    </row>
    <row r="44" spans="6:6" x14ac:dyDescent="0.35">
      <c r="F44">
        <v>2022</v>
      </c>
    </row>
    <row r="45" spans="6:6" x14ac:dyDescent="0.35">
      <c r="F45">
        <v>2023</v>
      </c>
    </row>
    <row r="46" spans="6:6" x14ac:dyDescent="0.35">
      <c r="F46">
        <v>2024</v>
      </c>
    </row>
    <row r="47" spans="6:6" x14ac:dyDescent="0.35">
      <c r="F47">
        <v>2025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O210"/>
  <sheetViews>
    <sheetView workbookViewId="0">
      <selection activeCell="D1" sqref="D1"/>
    </sheetView>
  </sheetViews>
  <sheetFormatPr baseColWidth="10" defaultRowHeight="12.75" x14ac:dyDescent="0.35"/>
  <cols>
    <col min="1" max="1" width="10.3984375" style="15" customWidth="1"/>
    <col min="2" max="2" width="37.3984375" style="16" customWidth="1"/>
    <col min="3" max="3" width="14.59765625" style="16" customWidth="1"/>
    <col min="4" max="4" width="19" style="17" customWidth="1"/>
    <col min="5" max="5" width="11.3984375" style="17" customWidth="1"/>
    <col min="11" max="11" width="40" customWidth="1"/>
  </cols>
  <sheetData>
    <row r="1" spans="1:15" ht="13.9" x14ac:dyDescent="0.4">
      <c r="A1" s="5" t="s">
        <v>0</v>
      </c>
      <c r="B1" s="9" t="s">
        <v>3</v>
      </c>
      <c r="C1" s="9" t="s">
        <v>1</v>
      </c>
      <c r="D1" s="7" t="s">
        <v>55</v>
      </c>
      <c r="E1" s="7" t="s">
        <v>49</v>
      </c>
    </row>
    <row r="2" spans="1:15" ht="13.15" x14ac:dyDescent="0.4">
      <c r="A2" s="6"/>
      <c r="B2" s="10"/>
      <c r="C2" s="10"/>
      <c r="D2" s="8"/>
      <c r="E2" s="8"/>
      <c r="L2" s="18">
        <v>1997</v>
      </c>
      <c r="M2" s="18">
        <v>1998</v>
      </c>
      <c r="N2" s="18">
        <v>1999</v>
      </c>
    </row>
    <row r="3" spans="1:15" ht="13.15" x14ac:dyDescent="0.4">
      <c r="A3" s="15">
        <v>35447</v>
      </c>
      <c r="B3" s="16" t="s">
        <v>41</v>
      </c>
      <c r="C3" s="16" t="s">
        <v>10</v>
      </c>
      <c r="D3" s="17" t="s">
        <v>34</v>
      </c>
      <c r="E3" s="17" t="s">
        <v>47</v>
      </c>
      <c r="K3" s="14" t="s">
        <v>37</v>
      </c>
      <c r="L3" s="19">
        <f>COUNTIF(B3:B44,K3)</f>
        <v>5</v>
      </c>
      <c r="M3" s="19">
        <f>COUNTIF(B45:B88,K3)</f>
        <v>8</v>
      </c>
      <c r="N3" s="19">
        <f>COUNTIF(B89:B133,K3)</f>
        <v>4</v>
      </c>
    </row>
    <row r="4" spans="1:15" ht="13.15" x14ac:dyDescent="0.4">
      <c r="A4" s="15">
        <v>35479</v>
      </c>
      <c r="B4" s="16" t="s">
        <v>40</v>
      </c>
      <c r="C4" s="16" t="s">
        <v>10</v>
      </c>
      <c r="D4" s="17" t="s">
        <v>36</v>
      </c>
      <c r="E4" s="17" t="s">
        <v>46</v>
      </c>
      <c r="K4" s="14" t="s">
        <v>38</v>
      </c>
      <c r="L4" s="19">
        <f>COUNTIF(B3:B44,K4)</f>
        <v>5</v>
      </c>
      <c r="M4" s="19">
        <f>COUNTIF(B45:B88,K4)</f>
        <v>5</v>
      </c>
      <c r="N4" s="19">
        <f>COUNTIF(B89:B133,K4)</f>
        <v>11</v>
      </c>
    </row>
    <row r="5" spans="1:15" ht="13.15" x14ac:dyDescent="0.4">
      <c r="A5" s="15">
        <v>35525</v>
      </c>
      <c r="B5" s="16" t="s">
        <v>43</v>
      </c>
      <c r="C5" s="16" t="s">
        <v>7</v>
      </c>
      <c r="D5" s="17" t="s">
        <v>4</v>
      </c>
      <c r="E5" s="17" t="s">
        <v>47</v>
      </c>
      <c r="K5" s="14" t="s">
        <v>39</v>
      </c>
      <c r="L5" s="19">
        <f>COUNTIF(B3:B44,K5)</f>
        <v>6</v>
      </c>
      <c r="M5" s="19">
        <f>COUNTIF(B45:B88,K5)</f>
        <v>0</v>
      </c>
      <c r="N5" s="19">
        <f>COUNTIF(B89:B133,K5)</f>
        <v>6</v>
      </c>
    </row>
    <row r="6" spans="1:15" ht="13.15" x14ac:dyDescent="0.4">
      <c r="A6" s="15">
        <v>35545</v>
      </c>
      <c r="B6" s="16" t="s">
        <v>44</v>
      </c>
      <c r="C6" s="16" t="s">
        <v>6</v>
      </c>
      <c r="D6" s="17" t="s">
        <v>36</v>
      </c>
      <c r="E6" s="17" t="s">
        <v>47</v>
      </c>
      <c r="K6" s="14" t="s">
        <v>40</v>
      </c>
      <c r="L6" s="19">
        <f>COUNTIF(B3:B44,K6)</f>
        <v>4</v>
      </c>
      <c r="M6" s="19">
        <f>COUNTIF(B45:B88,K6)</f>
        <v>7</v>
      </c>
      <c r="N6" s="19">
        <f>COUNTIF(B89:B133,K6)</f>
        <v>3</v>
      </c>
    </row>
    <row r="7" spans="1:15" ht="13.15" x14ac:dyDescent="0.4">
      <c r="A7" s="15">
        <v>35556</v>
      </c>
      <c r="B7" s="16" t="s">
        <v>42</v>
      </c>
      <c r="C7" s="16" t="s">
        <v>10</v>
      </c>
      <c r="D7" s="17" t="s">
        <v>35</v>
      </c>
      <c r="E7" s="17" t="s">
        <v>47</v>
      </c>
      <c r="K7" s="14" t="s">
        <v>41</v>
      </c>
      <c r="L7" s="19">
        <f>COUNTIF(B3:B44,K7)</f>
        <v>5</v>
      </c>
      <c r="M7" s="19">
        <f>COUNTIF(B45:B88,K7)</f>
        <v>4</v>
      </c>
      <c r="N7" s="19">
        <f>COUNTIF(B89:B133,K7)</f>
        <v>8</v>
      </c>
    </row>
    <row r="8" spans="1:15" ht="13.15" x14ac:dyDescent="0.4">
      <c r="A8" s="15">
        <v>35560</v>
      </c>
      <c r="B8" s="16" t="s">
        <v>44</v>
      </c>
      <c r="C8" s="16" t="s">
        <v>11</v>
      </c>
      <c r="D8" s="17" t="s">
        <v>34</v>
      </c>
      <c r="E8" s="17" t="s">
        <v>46</v>
      </c>
      <c r="K8" s="14" t="s">
        <v>42</v>
      </c>
      <c r="L8" s="19">
        <f>COUNTIF(B3:B44,K8)</f>
        <v>5</v>
      </c>
      <c r="M8" s="19">
        <f>COUNTIF(B45:B88,K8)</f>
        <v>8</v>
      </c>
      <c r="N8" s="19">
        <f>COUNTIF(B89:B133,K8)</f>
        <v>2</v>
      </c>
    </row>
    <row r="9" spans="1:15" ht="13.15" x14ac:dyDescent="0.4">
      <c r="A9" s="15">
        <v>35571</v>
      </c>
      <c r="B9" s="16" t="s">
        <v>41</v>
      </c>
      <c r="C9" s="16" t="s">
        <v>5</v>
      </c>
      <c r="D9" s="17" t="s">
        <v>4</v>
      </c>
      <c r="E9" s="17" t="s">
        <v>47</v>
      </c>
      <c r="K9" s="14" t="s">
        <v>45</v>
      </c>
      <c r="L9" s="19">
        <f>COUNTIF(B3:B44,K9)</f>
        <v>1</v>
      </c>
      <c r="M9" s="19">
        <f>COUNTIF(B45:B88,K9)</f>
        <v>3</v>
      </c>
      <c r="N9" s="19">
        <f>COUNTIF(B89:B133,K9)</f>
        <v>5</v>
      </c>
    </row>
    <row r="10" spans="1:15" ht="13.15" x14ac:dyDescent="0.4">
      <c r="A10" s="15">
        <v>35579</v>
      </c>
      <c r="B10" s="16" t="s">
        <v>41</v>
      </c>
      <c r="C10" s="16" t="s">
        <v>10</v>
      </c>
      <c r="D10" s="17" t="s">
        <v>34</v>
      </c>
      <c r="E10" s="17" t="s">
        <v>46</v>
      </c>
      <c r="K10" s="14" t="s">
        <v>43</v>
      </c>
      <c r="L10" s="19">
        <f>COUNTIF(B3:B44,K10)</f>
        <v>5</v>
      </c>
      <c r="M10" s="19">
        <f>COUNTIF(B45:B88,K10)</f>
        <v>2</v>
      </c>
      <c r="N10" s="19">
        <f>COUNTIF(B89:B133,K10)</f>
        <v>1</v>
      </c>
    </row>
    <row r="11" spans="1:15" ht="13.15" x14ac:dyDescent="0.4">
      <c r="A11" s="15">
        <v>35580</v>
      </c>
      <c r="B11" s="16" t="s">
        <v>40</v>
      </c>
      <c r="C11" s="16" t="s">
        <v>5</v>
      </c>
      <c r="D11" s="17" t="s">
        <v>34</v>
      </c>
      <c r="E11" s="17" t="s">
        <v>47</v>
      </c>
      <c r="K11" s="14" t="s">
        <v>44</v>
      </c>
      <c r="L11" s="19">
        <f>COUNTIF(B3:B44,K11)</f>
        <v>6</v>
      </c>
      <c r="M11" s="19">
        <f>COUNTIF(B45:B88,K11)</f>
        <v>7</v>
      </c>
      <c r="N11" s="19">
        <f>COUNTIF(B89:B133,K11)</f>
        <v>5</v>
      </c>
    </row>
    <row r="12" spans="1:15" x14ac:dyDescent="0.35">
      <c r="A12" s="15">
        <v>35584</v>
      </c>
      <c r="B12" s="16" t="s">
        <v>41</v>
      </c>
      <c r="C12" s="16" t="s">
        <v>6</v>
      </c>
      <c r="D12" s="17" t="s">
        <v>36</v>
      </c>
      <c r="E12" s="17" t="s">
        <v>46</v>
      </c>
      <c r="L12">
        <f>SUM(L3:L11)</f>
        <v>42</v>
      </c>
      <c r="M12">
        <f>SUM(M3:M11)</f>
        <v>44</v>
      </c>
      <c r="N12">
        <f>SUM(N3:N11)</f>
        <v>45</v>
      </c>
      <c r="O12">
        <f>SUMIF(L2:N2,"&gt;0",L12:N12)</f>
        <v>131</v>
      </c>
    </row>
    <row r="13" spans="1:15" x14ac:dyDescent="0.35">
      <c r="A13" s="15">
        <v>35587</v>
      </c>
      <c r="B13" s="16" t="s">
        <v>42</v>
      </c>
      <c r="C13" s="16" t="s">
        <v>9</v>
      </c>
      <c r="D13" s="17" t="s">
        <v>4</v>
      </c>
      <c r="E13" s="17" t="s">
        <v>47</v>
      </c>
    </row>
    <row r="14" spans="1:15" x14ac:dyDescent="0.35">
      <c r="A14" s="15">
        <v>35595</v>
      </c>
      <c r="B14" s="16" t="s">
        <v>40</v>
      </c>
      <c r="C14" s="16" t="s">
        <v>12</v>
      </c>
      <c r="D14" s="17" t="s">
        <v>35</v>
      </c>
      <c r="E14" s="17" t="s">
        <v>47</v>
      </c>
    </row>
    <row r="15" spans="1:15" ht="13.15" x14ac:dyDescent="0.4">
      <c r="A15" s="15">
        <v>35600</v>
      </c>
      <c r="B15" s="16" t="s">
        <v>39</v>
      </c>
      <c r="C15" s="16" t="s">
        <v>11</v>
      </c>
      <c r="D15" s="17" t="s">
        <v>36</v>
      </c>
      <c r="E15" s="17" t="s">
        <v>47</v>
      </c>
      <c r="L15" s="18">
        <v>1997</v>
      </c>
      <c r="M15" s="18">
        <v>1998</v>
      </c>
      <c r="N15" s="18">
        <v>1999</v>
      </c>
    </row>
    <row r="16" spans="1:15" ht="13.15" x14ac:dyDescent="0.4">
      <c r="A16" s="15">
        <v>35602</v>
      </c>
      <c r="B16" s="16" t="s">
        <v>43</v>
      </c>
      <c r="C16" s="16" t="s">
        <v>8</v>
      </c>
      <c r="D16" s="17" t="s">
        <v>36</v>
      </c>
      <c r="E16" s="17" t="s">
        <v>47</v>
      </c>
      <c r="K16" s="14" t="s">
        <v>6</v>
      </c>
      <c r="L16" s="19">
        <f>COUNTIF(C3:C44,K16)</f>
        <v>7</v>
      </c>
      <c r="M16" s="19">
        <f>COUNTIF(C45:C88,K16)</f>
        <v>2</v>
      </c>
      <c r="N16" s="19">
        <f>COUNTIF(C89:C133,K16)</f>
        <v>7</v>
      </c>
    </row>
    <row r="17" spans="1:15" ht="13.15" x14ac:dyDescent="0.4">
      <c r="A17" s="15">
        <v>35606</v>
      </c>
      <c r="B17" s="16" t="s">
        <v>37</v>
      </c>
      <c r="C17" s="16" t="s">
        <v>9</v>
      </c>
      <c r="D17" s="17" t="s">
        <v>35</v>
      </c>
      <c r="E17" s="17" t="s">
        <v>47</v>
      </c>
      <c r="K17" s="14" t="s">
        <v>7</v>
      </c>
      <c r="L17" s="19">
        <f>COUNTIF(C3:C44,K17)</f>
        <v>4</v>
      </c>
      <c r="M17" s="19">
        <f>COUNTIF(C45:C88,K17)</f>
        <v>5</v>
      </c>
      <c r="N17" s="19">
        <f>COUNTIF(C89:C133,K17)</f>
        <v>2</v>
      </c>
    </row>
    <row r="18" spans="1:15" ht="13.15" x14ac:dyDescent="0.4">
      <c r="A18" s="15">
        <v>35613</v>
      </c>
      <c r="B18" s="16" t="s">
        <v>37</v>
      </c>
      <c r="C18" s="16" t="s">
        <v>6</v>
      </c>
      <c r="D18" s="17" t="s">
        <v>34</v>
      </c>
      <c r="E18" s="17" t="s">
        <v>47</v>
      </c>
      <c r="K18" s="14" t="s">
        <v>8</v>
      </c>
      <c r="L18" s="19">
        <f>COUNTIF(C3:C44,K18)</f>
        <v>2</v>
      </c>
      <c r="M18" s="19">
        <f>COUNTIF(C45:C88,K18)</f>
        <v>1</v>
      </c>
      <c r="N18" s="19">
        <f>COUNTIF(C89:C133,K18)</f>
        <v>1</v>
      </c>
    </row>
    <row r="19" spans="1:15" ht="13.15" x14ac:dyDescent="0.4">
      <c r="A19" s="15">
        <v>35617</v>
      </c>
      <c r="B19" s="16" t="s">
        <v>38</v>
      </c>
      <c r="C19" s="16" t="s">
        <v>9</v>
      </c>
      <c r="D19" s="17" t="s">
        <v>35</v>
      </c>
      <c r="E19" s="17" t="s">
        <v>46</v>
      </c>
      <c r="K19" s="14" t="s">
        <v>9</v>
      </c>
      <c r="L19" s="19">
        <f>COUNTIF(C3:C44,K19)</f>
        <v>4</v>
      </c>
      <c r="M19" s="19">
        <f>COUNTIF(C45:C88,K19)</f>
        <v>5</v>
      </c>
      <c r="N19" s="19">
        <f>COUNTIF(C89:C133,K19)</f>
        <v>5</v>
      </c>
    </row>
    <row r="20" spans="1:15" ht="13.15" x14ac:dyDescent="0.4">
      <c r="A20" s="15">
        <v>35617</v>
      </c>
      <c r="B20" s="16" t="s">
        <v>39</v>
      </c>
      <c r="C20" s="16" t="s">
        <v>5</v>
      </c>
      <c r="D20" s="17" t="s">
        <v>34</v>
      </c>
      <c r="E20" s="17" t="s">
        <v>46</v>
      </c>
      <c r="K20" s="14" t="s">
        <v>10</v>
      </c>
      <c r="L20" s="19">
        <f>COUNTIF(C3:C44,K20)</f>
        <v>6</v>
      </c>
      <c r="M20" s="19">
        <f>COUNTIF(C45:C88,K20)</f>
        <v>5</v>
      </c>
      <c r="N20" s="19">
        <f>COUNTIF(C89:C133,K20)</f>
        <v>5</v>
      </c>
    </row>
    <row r="21" spans="1:15" ht="13.15" x14ac:dyDescent="0.4">
      <c r="A21" s="15">
        <v>35628</v>
      </c>
      <c r="B21" s="16" t="s">
        <v>44</v>
      </c>
      <c r="C21" s="16" t="s">
        <v>8</v>
      </c>
      <c r="D21" s="17" t="s">
        <v>36</v>
      </c>
      <c r="E21" s="17" t="s">
        <v>47</v>
      </c>
      <c r="K21" s="14" t="s">
        <v>11</v>
      </c>
      <c r="L21" s="19">
        <f>COUNTIF(C3:C44,K21)</f>
        <v>5</v>
      </c>
      <c r="M21" s="19">
        <f>COUNTIF(C45:C88,K21)</f>
        <v>3</v>
      </c>
      <c r="N21" s="19">
        <f>COUNTIF(C89:C133,K21)</f>
        <v>5</v>
      </c>
    </row>
    <row r="22" spans="1:15" ht="13.15" x14ac:dyDescent="0.4">
      <c r="A22" s="15">
        <v>35629</v>
      </c>
      <c r="B22" s="16" t="s">
        <v>44</v>
      </c>
      <c r="C22" s="16" t="s">
        <v>11</v>
      </c>
      <c r="D22" s="17" t="s">
        <v>4</v>
      </c>
      <c r="E22" s="17" t="s">
        <v>47</v>
      </c>
      <c r="K22" s="14" t="s">
        <v>12</v>
      </c>
      <c r="L22" s="19">
        <f>COUNTIF(C3:C44,K22)</f>
        <v>2</v>
      </c>
      <c r="M22" s="19">
        <f>COUNTIF(C45:C88,K22)</f>
        <v>1</v>
      </c>
      <c r="N22" s="19">
        <f>COUNTIF(C89:C133,K22)</f>
        <v>5</v>
      </c>
    </row>
    <row r="23" spans="1:15" ht="13.15" x14ac:dyDescent="0.4">
      <c r="A23" s="15">
        <v>35648</v>
      </c>
      <c r="B23" s="16" t="s">
        <v>38</v>
      </c>
      <c r="C23" s="16" t="s">
        <v>12</v>
      </c>
      <c r="D23" s="17" t="s">
        <v>34</v>
      </c>
      <c r="E23" s="17" t="s">
        <v>46</v>
      </c>
      <c r="K23" s="14" t="s">
        <v>31</v>
      </c>
      <c r="L23" s="19">
        <f>COUNTIF(C3:C44,K23)</f>
        <v>1</v>
      </c>
      <c r="M23" s="19">
        <f>COUNTIF(C45:C88,K23)</f>
        <v>3</v>
      </c>
      <c r="N23" s="19">
        <f>COUNTIF(C89:C133,K23)</f>
        <v>5</v>
      </c>
    </row>
    <row r="24" spans="1:15" ht="13.15" x14ac:dyDescent="0.4">
      <c r="A24" s="15">
        <v>35659</v>
      </c>
      <c r="B24" s="16" t="s">
        <v>39</v>
      </c>
      <c r="C24" s="16" t="s">
        <v>7</v>
      </c>
      <c r="D24" s="17" t="s">
        <v>4</v>
      </c>
      <c r="E24" s="17" t="s">
        <v>47</v>
      </c>
      <c r="K24" s="14" t="s">
        <v>32</v>
      </c>
      <c r="L24" s="19">
        <f>COUNTIF(C3:C44,K24)</f>
        <v>4</v>
      </c>
      <c r="M24" s="19">
        <f>COUNTIF(C45:C88,K24)</f>
        <v>6</v>
      </c>
      <c r="N24" s="19">
        <f>COUNTIF(C89:C133,K24)</f>
        <v>2</v>
      </c>
    </row>
    <row r="25" spans="1:15" ht="13.15" x14ac:dyDescent="0.4">
      <c r="A25" s="15">
        <v>35663</v>
      </c>
      <c r="B25" s="16" t="s">
        <v>45</v>
      </c>
      <c r="C25" s="16" t="s">
        <v>11</v>
      </c>
      <c r="D25" s="17" t="s">
        <v>36</v>
      </c>
      <c r="E25" s="17" t="s">
        <v>46</v>
      </c>
      <c r="K25" s="14" t="s">
        <v>33</v>
      </c>
      <c r="L25" s="19">
        <f>COUNTIF(C3:C44,K25)</f>
        <v>1</v>
      </c>
      <c r="M25" s="19">
        <f>COUNTIF(C45:C88,K25)</f>
        <v>9</v>
      </c>
      <c r="N25" s="19">
        <f>COUNTIF(C89:C133,K25)</f>
        <v>5</v>
      </c>
    </row>
    <row r="26" spans="1:15" ht="13.15" x14ac:dyDescent="0.4">
      <c r="A26" s="15">
        <v>35680</v>
      </c>
      <c r="B26" s="16" t="s">
        <v>43</v>
      </c>
      <c r="C26" s="16" t="s">
        <v>5</v>
      </c>
      <c r="D26" s="17" t="s">
        <v>35</v>
      </c>
      <c r="E26" s="17" t="s">
        <v>47</v>
      </c>
      <c r="K26" s="14" t="s">
        <v>5</v>
      </c>
      <c r="L26" s="19">
        <f>COUNTIF(C3:C44,K26)</f>
        <v>6</v>
      </c>
      <c r="M26" s="19">
        <f>COUNTIF(C45:C88,K26)</f>
        <v>4</v>
      </c>
      <c r="N26" s="19">
        <f>COUNTIF(C89:C133,K26)</f>
        <v>3</v>
      </c>
    </row>
    <row r="27" spans="1:15" x14ac:dyDescent="0.35">
      <c r="A27" s="15">
        <v>35686</v>
      </c>
      <c r="B27" s="16" t="s">
        <v>37</v>
      </c>
      <c r="C27" s="16" t="s">
        <v>6</v>
      </c>
      <c r="D27" s="17" t="s">
        <v>36</v>
      </c>
      <c r="E27" s="17" t="s">
        <v>47</v>
      </c>
      <c r="L27">
        <f>SUM(L16:L26)</f>
        <v>42</v>
      </c>
      <c r="M27">
        <f>SUM(M16:M26)</f>
        <v>44</v>
      </c>
      <c r="N27">
        <f>SUM(N16:N26)</f>
        <v>45</v>
      </c>
      <c r="O27">
        <f>SUMIF(L15:N15,"&gt;0",L27:N27)</f>
        <v>131</v>
      </c>
    </row>
    <row r="28" spans="1:15" x14ac:dyDescent="0.35">
      <c r="A28" s="15">
        <v>35687</v>
      </c>
      <c r="B28" s="16" t="s">
        <v>43</v>
      </c>
      <c r="C28" s="16" t="s">
        <v>32</v>
      </c>
      <c r="D28" s="17" t="s">
        <v>4</v>
      </c>
      <c r="E28" s="17" t="s">
        <v>46</v>
      </c>
    </row>
    <row r="29" spans="1:15" x14ac:dyDescent="0.35">
      <c r="A29" s="15">
        <v>35690</v>
      </c>
      <c r="B29" s="16" t="s">
        <v>38</v>
      </c>
      <c r="C29" s="16" t="s">
        <v>6</v>
      </c>
      <c r="D29" s="17" t="s">
        <v>35</v>
      </c>
      <c r="E29" s="17" t="s">
        <v>47</v>
      </c>
    </row>
    <row r="30" spans="1:15" x14ac:dyDescent="0.35">
      <c r="A30" s="15">
        <v>35695</v>
      </c>
      <c r="B30" s="16" t="s">
        <v>40</v>
      </c>
      <c r="C30" s="16" t="s">
        <v>32</v>
      </c>
      <c r="D30" s="17" t="s">
        <v>36</v>
      </c>
      <c r="E30" s="17" t="s">
        <v>47</v>
      </c>
    </row>
    <row r="31" spans="1:15" ht="13.15" x14ac:dyDescent="0.4">
      <c r="A31" s="15">
        <v>35701</v>
      </c>
      <c r="B31" s="16" t="s">
        <v>42</v>
      </c>
      <c r="C31" s="16" t="s">
        <v>5</v>
      </c>
      <c r="D31" s="17" t="s">
        <v>4</v>
      </c>
      <c r="E31" s="17" t="s">
        <v>47</v>
      </c>
      <c r="L31" s="18">
        <v>1997</v>
      </c>
      <c r="M31" s="18">
        <v>1998</v>
      </c>
      <c r="N31" s="18">
        <v>1999</v>
      </c>
    </row>
    <row r="32" spans="1:15" ht="13.15" x14ac:dyDescent="0.4">
      <c r="A32" s="15">
        <v>35705</v>
      </c>
      <c r="B32" s="16" t="s">
        <v>38</v>
      </c>
      <c r="C32" s="16" t="s">
        <v>10</v>
      </c>
      <c r="D32" s="17" t="s">
        <v>36</v>
      </c>
      <c r="E32" s="17" t="s">
        <v>47</v>
      </c>
      <c r="K32" s="14" t="s">
        <v>4</v>
      </c>
      <c r="L32" s="19">
        <f>COUNTIF(D3:D44,K32)</f>
        <v>7</v>
      </c>
      <c r="M32" s="19">
        <f>COUNTIF(D45:D88,K32)</f>
        <v>10</v>
      </c>
      <c r="N32" s="19">
        <f>COUNTIF(D89:D133,K32)</f>
        <v>12</v>
      </c>
    </row>
    <row r="33" spans="1:15" ht="13.15" x14ac:dyDescent="0.4">
      <c r="A33" s="15">
        <v>35724</v>
      </c>
      <c r="B33" s="16" t="s">
        <v>37</v>
      </c>
      <c r="C33" s="16" t="s">
        <v>6</v>
      </c>
      <c r="D33" s="17" t="s">
        <v>34</v>
      </c>
      <c r="E33" s="17" t="s">
        <v>46</v>
      </c>
      <c r="K33" s="14" t="s">
        <v>34</v>
      </c>
      <c r="L33" s="19">
        <f>COUNTIF(D3:D44,K33)</f>
        <v>9</v>
      </c>
      <c r="M33" s="19">
        <f>COUNTIF(D45:D88,K33)</f>
        <v>8</v>
      </c>
      <c r="N33" s="19">
        <f>COUNTIF(D89:D133,K33)</f>
        <v>13</v>
      </c>
    </row>
    <row r="34" spans="1:15" ht="13.15" x14ac:dyDescent="0.4">
      <c r="A34" s="15">
        <v>35730</v>
      </c>
      <c r="B34" s="16" t="s">
        <v>43</v>
      </c>
      <c r="C34" s="16" t="s">
        <v>32</v>
      </c>
      <c r="D34" s="17" t="s">
        <v>35</v>
      </c>
      <c r="E34" s="17" t="s">
        <v>46</v>
      </c>
      <c r="K34" s="14" t="s">
        <v>35</v>
      </c>
      <c r="L34" s="19">
        <f>COUNTIF(D3:D44,K34)</f>
        <v>13</v>
      </c>
      <c r="M34" s="19">
        <f>COUNTIF(D45:D88,K34)</f>
        <v>11</v>
      </c>
      <c r="N34" s="19">
        <f>COUNTIF(D89:D133,K34)</f>
        <v>9</v>
      </c>
    </row>
    <row r="35" spans="1:15" ht="13.15" x14ac:dyDescent="0.4">
      <c r="A35" s="15">
        <v>35731</v>
      </c>
      <c r="B35" s="16" t="s">
        <v>41</v>
      </c>
      <c r="C35" s="16" t="s">
        <v>32</v>
      </c>
      <c r="D35" s="17" t="s">
        <v>35</v>
      </c>
      <c r="E35" s="17" t="s">
        <v>46</v>
      </c>
      <c r="K35" s="14" t="s">
        <v>36</v>
      </c>
      <c r="L35" s="19">
        <f>COUNTIF(D3:D44,K35)</f>
        <v>13</v>
      </c>
      <c r="M35" s="19">
        <f>COUNTIF(D45:D88,K35)</f>
        <v>15</v>
      </c>
      <c r="N35" s="19">
        <f>COUNTIF(D89:D133,K35)</f>
        <v>11</v>
      </c>
    </row>
    <row r="36" spans="1:15" ht="13.15" x14ac:dyDescent="0.4">
      <c r="A36" s="15">
        <v>35735</v>
      </c>
      <c r="B36" s="16" t="s">
        <v>39</v>
      </c>
      <c r="C36" s="16" t="s">
        <v>11</v>
      </c>
      <c r="D36" s="17" t="s">
        <v>35</v>
      </c>
      <c r="E36" s="17" t="s">
        <v>47</v>
      </c>
      <c r="K36" s="14"/>
      <c r="L36">
        <f>SUM(L32:L35)</f>
        <v>42</v>
      </c>
      <c r="M36">
        <f>SUM(M32:M35)</f>
        <v>44</v>
      </c>
      <c r="N36">
        <f>SUM(N32:N35)</f>
        <v>45</v>
      </c>
      <c r="O36">
        <f>SUMIF(L31:N31,"&gt;0",L36:N36)</f>
        <v>131</v>
      </c>
    </row>
    <row r="37" spans="1:15" ht="13.15" x14ac:dyDescent="0.4">
      <c r="A37" s="15">
        <v>35747</v>
      </c>
      <c r="B37" s="16" t="s">
        <v>42</v>
      </c>
      <c r="C37" s="16" t="s">
        <v>33</v>
      </c>
      <c r="D37" s="17" t="s">
        <v>36</v>
      </c>
      <c r="E37" s="17" t="s">
        <v>47</v>
      </c>
      <c r="K37" s="14"/>
      <c r="L37" s="19"/>
      <c r="M37" s="19"/>
      <c r="N37" s="19"/>
    </row>
    <row r="38" spans="1:15" x14ac:dyDescent="0.35">
      <c r="A38" s="15">
        <v>35751</v>
      </c>
      <c r="B38" s="16" t="s">
        <v>37</v>
      </c>
      <c r="C38" s="16" t="s">
        <v>31</v>
      </c>
      <c r="D38" s="17" t="s">
        <v>35</v>
      </c>
      <c r="E38" s="17" t="s">
        <v>46</v>
      </c>
    </row>
    <row r="39" spans="1:15" x14ac:dyDescent="0.35">
      <c r="A39" s="15">
        <v>35759</v>
      </c>
      <c r="B39" s="16" t="s">
        <v>44</v>
      </c>
      <c r="C39" s="16" t="s">
        <v>10</v>
      </c>
      <c r="D39" s="17" t="s">
        <v>35</v>
      </c>
      <c r="E39" s="17" t="s">
        <v>47</v>
      </c>
    </row>
    <row r="40" spans="1:15" x14ac:dyDescent="0.35">
      <c r="A40" s="15">
        <v>35769</v>
      </c>
      <c r="B40" s="16" t="s">
        <v>39</v>
      </c>
      <c r="C40" s="16" t="s">
        <v>7</v>
      </c>
      <c r="D40" s="17" t="s">
        <v>34</v>
      </c>
      <c r="E40" s="17" t="s">
        <v>46</v>
      </c>
    </row>
    <row r="41" spans="1:15" x14ac:dyDescent="0.35">
      <c r="A41" s="15">
        <v>35772</v>
      </c>
      <c r="B41" s="16" t="s">
        <v>39</v>
      </c>
      <c r="C41" s="16" t="s">
        <v>7</v>
      </c>
      <c r="D41" s="17" t="s">
        <v>35</v>
      </c>
      <c r="E41" s="17" t="s">
        <v>46</v>
      </c>
    </row>
    <row r="42" spans="1:15" x14ac:dyDescent="0.35">
      <c r="A42" s="15">
        <v>35777</v>
      </c>
      <c r="B42" s="16" t="s">
        <v>38</v>
      </c>
      <c r="C42" s="16" t="s">
        <v>9</v>
      </c>
      <c r="D42" s="17" t="s">
        <v>36</v>
      </c>
      <c r="E42" s="17" t="s">
        <v>47</v>
      </c>
    </row>
    <row r="43" spans="1:15" x14ac:dyDescent="0.35">
      <c r="A43" s="15">
        <v>35782</v>
      </c>
      <c r="B43" s="16" t="s">
        <v>44</v>
      </c>
      <c r="C43" s="16" t="s">
        <v>6</v>
      </c>
      <c r="D43" s="17" t="s">
        <v>35</v>
      </c>
      <c r="E43" s="17" t="s">
        <v>46</v>
      </c>
    </row>
    <row r="44" spans="1:15" x14ac:dyDescent="0.35">
      <c r="A44" s="15">
        <v>35793</v>
      </c>
      <c r="B44" s="16" t="s">
        <v>42</v>
      </c>
      <c r="C44" s="16" t="s">
        <v>5</v>
      </c>
      <c r="D44" s="17" t="s">
        <v>36</v>
      </c>
      <c r="E44" s="17" t="s">
        <v>46</v>
      </c>
    </row>
    <row r="45" spans="1:15" x14ac:dyDescent="0.35">
      <c r="A45" s="15">
        <v>35809</v>
      </c>
      <c r="B45" s="16" t="s">
        <v>40</v>
      </c>
      <c r="C45" s="16" t="s">
        <v>33</v>
      </c>
      <c r="D45" s="17" t="s">
        <v>35</v>
      </c>
      <c r="E45" s="17" t="s">
        <v>47</v>
      </c>
    </row>
    <row r="46" spans="1:15" x14ac:dyDescent="0.35">
      <c r="A46" s="15">
        <v>35811</v>
      </c>
      <c r="B46" s="16" t="s">
        <v>38</v>
      </c>
      <c r="C46" s="16" t="s">
        <v>32</v>
      </c>
      <c r="D46" s="17" t="s">
        <v>4</v>
      </c>
      <c r="E46" s="17" t="s">
        <v>46</v>
      </c>
    </row>
    <row r="47" spans="1:15" x14ac:dyDescent="0.35">
      <c r="A47" s="15">
        <v>35816</v>
      </c>
      <c r="B47" s="16" t="s">
        <v>37</v>
      </c>
      <c r="C47" s="16" t="s">
        <v>33</v>
      </c>
      <c r="D47" s="17" t="s">
        <v>34</v>
      </c>
      <c r="E47" s="17" t="s">
        <v>47</v>
      </c>
    </row>
    <row r="48" spans="1:15" x14ac:dyDescent="0.35">
      <c r="A48" s="15">
        <v>35820</v>
      </c>
      <c r="B48" s="16" t="s">
        <v>42</v>
      </c>
      <c r="C48" s="16" t="s">
        <v>11</v>
      </c>
      <c r="D48" s="17" t="s">
        <v>4</v>
      </c>
      <c r="E48" s="17" t="s">
        <v>47</v>
      </c>
    </row>
    <row r="49" spans="1:5" x14ac:dyDescent="0.35">
      <c r="A49" s="15">
        <v>35821</v>
      </c>
      <c r="B49" s="16" t="s">
        <v>44</v>
      </c>
      <c r="C49" s="16" t="s">
        <v>6</v>
      </c>
      <c r="D49" s="17" t="s">
        <v>36</v>
      </c>
      <c r="E49" s="17" t="s">
        <v>47</v>
      </c>
    </row>
    <row r="50" spans="1:5" x14ac:dyDescent="0.35">
      <c r="A50" s="15">
        <v>35828</v>
      </c>
      <c r="B50" s="16" t="s">
        <v>41</v>
      </c>
      <c r="C50" s="16" t="s">
        <v>10</v>
      </c>
      <c r="D50" s="17" t="s">
        <v>34</v>
      </c>
      <c r="E50" s="17" t="s">
        <v>47</v>
      </c>
    </row>
    <row r="51" spans="1:5" x14ac:dyDescent="0.35">
      <c r="A51" s="15">
        <v>35830</v>
      </c>
      <c r="B51" s="16" t="s">
        <v>41</v>
      </c>
      <c r="C51" s="16" t="s">
        <v>33</v>
      </c>
      <c r="D51" s="17" t="s">
        <v>35</v>
      </c>
      <c r="E51" s="17" t="s">
        <v>47</v>
      </c>
    </row>
    <row r="52" spans="1:5" x14ac:dyDescent="0.35">
      <c r="A52" s="15">
        <v>35832</v>
      </c>
      <c r="B52" s="16" t="s">
        <v>44</v>
      </c>
      <c r="C52" s="16" t="s">
        <v>10</v>
      </c>
      <c r="D52" s="17" t="s">
        <v>36</v>
      </c>
      <c r="E52" s="17" t="s">
        <v>47</v>
      </c>
    </row>
    <row r="53" spans="1:5" x14ac:dyDescent="0.35">
      <c r="A53" s="15">
        <v>35833</v>
      </c>
      <c r="B53" s="16" t="s">
        <v>42</v>
      </c>
      <c r="C53" s="16" t="s">
        <v>33</v>
      </c>
      <c r="D53" s="17" t="s">
        <v>36</v>
      </c>
      <c r="E53" s="17" t="s">
        <v>47</v>
      </c>
    </row>
    <row r="54" spans="1:5" x14ac:dyDescent="0.35">
      <c r="A54" s="15">
        <v>35839</v>
      </c>
      <c r="B54" s="16" t="s">
        <v>37</v>
      </c>
      <c r="C54" s="16" t="s">
        <v>9</v>
      </c>
      <c r="D54" s="17" t="s">
        <v>4</v>
      </c>
      <c r="E54" s="17" t="s">
        <v>46</v>
      </c>
    </row>
    <row r="55" spans="1:5" x14ac:dyDescent="0.35">
      <c r="A55" s="15">
        <v>35848</v>
      </c>
      <c r="B55" s="16" t="s">
        <v>37</v>
      </c>
      <c r="C55" s="16" t="s">
        <v>9</v>
      </c>
      <c r="D55" s="17" t="s">
        <v>4</v>
      </c>
      <c r="E55" s="17" t="s">
        <v>47</v>
      </c>
    </row>
    <row r="56" spans="1:5" x14ac:dyDescent="0.35">
      <c r="A56" s="15">
        <v>35864</v>
      </c>
      <c r="B56" s="16" t="s">
        <v>40</v>
      </c>
      <c r="C56" s="16" t="s">
        <v>10</v>
      </c>
      <c r="D56" s="17" t="s">
        <v>36</v>
      </c>
      <c r="E56" s="17" t="s">
        <v>47</v>
      </c>
    </row>
    <row r="57" spans="1:5" x14ac:dyDescent="0.35">
      <c r="A57" s="15">
        <v>35873</v>
      </c>
      <c r="B57" s="16" t="s">
        <v>37</v>
      </c>
      <c r="C57" s="16" t="s">
        <v>33</v>
      </c>
      <c r="D57" s="17" t="s">
        <v>36</v>
      </c>
      <c r="E57" s="17" t="s">
        <v>46</v>
      </c>
    </row>
    <row r="58" spans="1:5" x14ac:dyDescent="0.35">
      <c r="A58" s="15">
        <v>35875</v>
      </c>
      <c r="B58" s="16" t="s">
        <v>42</v>
      </c>
      <c r="C58" s="16" t="s">
        <v>32</v>
      </c>
      <c r="D58" s="17" t="s">
        <v>4</v>
      </c>
      <c r="E58" s="17" t="s">
        <v>47</v>
      </c>
    </row>
    <row r="59" spans="1:5" x14ac:dyDescent="0.35">
      <c r="A59" s="15">
        <v>35877</v>
      </c>
      <c r="B59" s="16" t="s">
        <v>42</v>
      </c>
      <c r="C59" s="16" t="s">
        <v>32</v>
      </c>
      <c r="D59" s="17" t="s">
        <v>35</v>
      </c>
      <c r="E59" s="17" t="s">
        <v>47</v>
      </c>
    </row>
    <row r="60" spans="1:5" x14ac:dyDescent="0.35">
      <c r="A60" s="15">
        <v>35877</v>
      </c>
      <c r="B60" s="16" t="s">
        <v>43</v>
      </c>
      <c r="C60" s="16" t="s">
        <v>5</v>
      </c>
      <c r="D60" s="17" t="s">
        <v>36</v>
      </c>
      <c r="E60" s="17" t="s">
        <v>46</v>
      </c>
    </row>
    <row r="61" spans="1:5" x14ac:dyDescent="0.35">
      <c r="A61" s="15">
        <v>35880</v>
      </c>
      <c r="B61" s="16" t="s">
        <v>42</v>
      </c>
      <c r="C61" s="16" t="s">
        <v>10</v>
      </c>
      <c r="D61" s="17" t="s">
        <v>34</v>
      </c>
      <c r="E61" s="17" t="s">
        <v>46</v>
      </c>
    </row>
    <row r="62" spans="1:5" x14ac:dyDescent="0.35">
      <c r="A62" s="15">
        <v>35889</v>
      </c>
      <c r="B62" s="16" t="s">
        <v>40</v>
      </c>
      <c r="C62" s="16" t="s">
        <v>7</v>
      </c>
      <c r="D62" s="17" t="s">
        <v>36</v>
      </c>
      <c r="E62" s="17" t="s">
        <v>46</v>
      </c>
    </row>
    <row r="63" spans="1:5" x14ac:dyDescent="0.35">
      <c r="A63" s="15">
        <v>35890</v>
      </c>
      <c r="B63" s="16" t="s">
        <v>40</v>
      </c>
      <c r="C63" s="16" t="s">
        <v>32</v>
      </c>
      <c r="D63" s="17" t="s">
        <v>35</v>
      </c>
      <c r="E63" s="17" t="s">
        <v>47</v>
      </c>
    </row>
    <row r="64" spans="1:5" x14ac:dyDescent="0.35">
      <c r="A64" s="15">
        <v>35898</v>
      </c>
      <c r="B64" s="16" t="s">
        <v>40</v>
      </c>
      <c r="C64" s="16" t="s">
        <v>33</v>
      </c>
      <c r="D64" s="17" t="s">
        <v>35</v>
      </c>
      <c r="E64" s="17" t="s">
        <v>46</v>
      </c>
    </row>
    <row r="65" spans="1:5" x14ac:dyDescent="0.35">
      <c r="A65" s="15">
        <v>35916</v>
      </c>
      <c r="B65" s="16" t="s">
        <v>44</v>
      </c>
      <c r="C65" s="16" t="s">
        <v>9</v>
      </c>
      <c r="D65" s="17" t="s">
        <v>36</v>
      </c>
      <c r="E65" s="17" t="s">
        <v>47</v>
      </c>
    </row>
    <row r="66" spans="1:5" x14ac:dyDescent="0.35">
      <c r="A66" s="15">
        <v>35930</v>
      </c>
      <c r="B66" s="16" t="s">
        <v>37</v>
      </c>
      <c r="C66" s="16" t="s">
        <v>33</v>
      </c>
      <c r="D66" s="17" t="s">
        <v>36</v>
      </c>
      <c r="E66" s="17" t="s">
        <v>47</v>
      </c>
    </row>
    <row r="67" spans="1:5" x14ac:dyDescent="0.35">
      <c r="A67" s="15">
        <v>35938</v>
      </c>
      <c r="B67" s="16" t="s">
        <v>44</v>
      </c>
      <c r="C67" s="16" t="s">
        <v>5</v>
      </c>
      <c r="D67" s="17" t="s">
        <v>4</v>
      </c>
      <c r="E67" s="17" t="s">
        <v>46</v>
      </c>
    </row>
    <row r="68" spans="1:5" x14ac:dyDescent="0.35">
      <c r="A68" s="15">
        <v>35954</v>
      </c>
      <c r="B68" s="16" t="s">
        <v>43</v>
      </c>
      <c r="C68" s="16" t="s">
        <v>11</v>
      </c>
      <c r="D68" s="17" t="s">
        <v>36</v>
      </c>
      <c r="E68" s="17" t="s">
        <v>46</v>
      </c>
    </row>
    <row r="69" spans="1:5" x14ac:dyDescent="0.35">
      <c r="A69" s="15">
        <v>35957</v>
      </c>
      <c r="B69" s="16" t="s">
        <v>42</v>
      </c>
      <c r="C69" s="16" t="s">
        <v>10</v>
      </c>
      <c r="D69" s="17" t="s">
        <v>36</v>
      </c>
      <c r="E69" s="17" t="s">
        <v>46</v>
      </c>
    </row>
    <row r="70" spans="1:5" x14ac:dyDescent="0.35">
      <c r="A70" s="15">
        <v>35957</v>
      </c>
      <c r="B70" s="16" t="s">
        <v>38</v>
      </c>
      <c r="C70" s="16" t="s">
        <v>7</v>
      </c>
      <c r="D70" s="17" t="s">
        <v>36</v>
      </c>
      <c r="E70" s="17" t="s">
        <v>47</v>
      </c>
    </row>
    <row r="71" spans="1:5" x14ac:dyDescent="0.35">
      <c r="A71" s="15">
        <v>35958</v>
      </c>
      <c r="B71" s="16" t="s">
        <v>41</v>
      </c>
      <c r="C71" s="16" t="s">
        <v>32</v>
      </c>
      <c r="D71" s="17" t="s">
        <v>4</v>
      </c>
      <c r="E71" s="17" t="s">
        <v>47</v>
      </c>
    </row>
    <row r="72" spans="1:5" x14ac:dyDescent="0.35">
      <c r="A72" s="15">
        <v>35959</v>
      </c>
      <c r="B72" s="16" t="s">
        <v>44</v>
      </c>
      <c r="C72" s="16" t="s">
        <v>5</v>
      </c>
      <c r="D72" s="17" t="s">
        <v>36</v>
      </c>
      <c r="E72" s="17" t="s">
        <v>47</v>
      </c>
    </row>
    <row r="73" spans="1:5" x14ac:dyDescent="0.35">
      <c r="A73" s="15">
        <v>35968</v>
      </c>
      <c r="B73" s="16" t="s">
        <v>37</v>
      </c>
      <c r="C73" s="16" t="s">
        <v>6</v>
      </c>
      <c r="D73" s="17" t="s">
        <v>4</v>
      </c>
      <c r="E73" s="17" t="s">
        <v>46</v>
      </c>
    </row>
    <row r="74" spans="1:5" x14ac:dyDescent="0.35">
      <c r="A74" s="15">
        <v>35970</v>
      </c>
      <c r="B74" s="16" t="s">
        <v>45</v>
      </c>
      <c r="C74" s="16" t="s">
        <v>31</v>
      </c>
      <c r="D74" s="17" t="s">
        <v>35</v>
      </c>
      <c r="E74" s="17" t="s">
        <v>47</v>
      </c>
    </row>
    <row r="75" spans="1:5" x14ac:dyDescent="0.35">
      <c r="A75" s="15">
        <v>35998</v>
      </c>
      <c r="B75" s="16" t="s">
        <v>37</v>
      </c>
      <c r="C75" s="16" t="s">
        <v>32</v>
      </c>
      <c r="D75" s="17" t="s">
        <v>35</v>
      </c>
      <c r="E75" s="17" t="s">
        <v>46</v>
      </c>
    </row>
    <row r="76" spans="1:5" x14ac:dyDescent="0.35">
      <c r="A76" s="15">
        <v>35999</v>
      </c>
      <c r="B76" s="16" t="s">
        <v>38</v>
      </c>
      <c r="C76" s="16" t="s">
        <v>12</v>
      </c>
      <c r="D76" s="17" t="s">
        <v>34</v>
      </c>
      <c r="E76" s="17" t="s">
        <v>47</v>
      </c>
    </row>
    <row r="77" spans="1:5" x14ac:dyDescent="0.35">
      <c r="A77" s="15">
        <v>35999</v>
      </c>
      <c r="B77" s="16" t="s">
        <v>42</v>
      </c>
      <c r="C77" s="16" t="s">
        <v>9</v>
      </c>
      <c r="D77" s="17" t="s">
        <v>35</v>
      </c>
      <c r="E77" s="17" t="s">
        <v>46</v>
      </c>
    </row>
    <row r="78" spans="1:5" x14ac:dyDescent="0.35">
      <c r="A78" s="15">
        <v>36013</v>
      </c>
      <c r="B78" s="16" t="s">
        <v>42</v>
      </c>
      <c r="C78" s="16" t="s">
        <v>8</v>
      </c>
      <c r="D78" s="17" t="s">
        <v>34</v>
      </c>
      <c r="E78" s="17" t="s">
        <v>46</v>
      </c>
    </row>
    <row r="79" spans="1:5" x14ac:dyDescent="0.35">
      <c r="A79" s="15">
        <v>36014</v>
      </c>
      <c r="B79" s="16" t="s">
        <v>37</v>
      </c>
      <c r="C79" s="16" t="s">
        <v>9</v>
      </c>
      <c r="D79" s="17" t="s">
        <v>4</v>
      </c>
      <c r="E79" s="17" t="s">
        <v>46</v>
      </c>
    </row>
    <row r="80" spans="1:5" x14ac:dyDescent="0.35">
      <c r="A80" s="15">
        <v>36014</v>
      </c>
      <c r="B80" s="16" t="s">
        <v>40</v>
      </c>
      <c r="C80" s="16" t="s">
        <v>11</v>
      </c>
      <c r="D80" s="17" t="s">
        <v>36</v>
      </c>
      <c r="E80" s="17" t="s">
        <v>47</v>
      </c>
    </row>
    <row r="81" spans="1:5" x14ac:dyDescent="0.35">
      <c r="A81" s="15">
        <v>36025</v>
      </c>
      <c r="B81" s="16" t="s">
        <v>38</v>
      </c>
      <c r="C81" s="16" t="s">
        <v>5</v>
      </c>
      <c r="D81" s="17" t="s">
        <v>35</v>
      </c>
      <c r="E81" s="17" t="s">
        <v>47</v>
      </c>
    </row>
    <row r="82" spans="1:5" x14ac:dyDescent="0.35">
      <c r="A82" s="15">
        <v>36036</v>
      </c>
      <c r="B82" s="16" t="s">
        <v>40</v>
      </c>
      <c r="C82" s="16" t="s">
        <v>7</v>
      </c>
      <c r="D82" s="17" t="s">
        <v>36</v>
      </c>
      <c r="E82" s="17" t="s">
        <v>46</v>
      </c>
    </row>
    <row r="83" spans="1:5" x14ac:dyDescent="0.35">
      <c r="A83" s="15">
        <v>36048</v>
      </c>
      <c r="B83" s="16" t="s">
        <v>38</v>
      </c>
      <c r="C83" s="16" t="s">
        <v>31</v>
      </c>
      <c r="D83" s="17" t="s">
        <v>34</v>
      </c>
      <c r="E83" s="17" t="s">
        <v>46</v>
      </c>
    </row>
    <row r="84" spans="1:5" x14ac:dyDescent="0.35">
      <c r="A84" s="15">
        <v>36063</v>
      </c>
      <c r="B84" s="16" t="s">
        <v>44</v>
      </c>
      <c r="C84" s="16" t="s">
        <v>7</v>
      </c>
      <c r="D84" s="17" t="s">
        <v>35</v>
      </c>
      <c r="E84" s="17" t="s">
        <v>46</v>
      </c>
    </row>
    <row r="85" spans="1:5" x14ac:dyDescent="0.35">
      <c r="A85" s="15">
        <v>36091</v>
      </c>
      <c r="B85" s="16" t="s">
        <v>45</v>
      </c>
      <c r="C85" s="16" t="s">
        <v>7</v>
      </c>
      <c r="D85" s="17" t="s">
        <v>34</v>
      </c>
      <c r="E85" s="17" t="s">
        <v>47</v>
      </c>
    </row>
    <row r="86" spans="1:5" x14ac:dyDescent="0.35">
      <c r="A86" s="15">
        <v>36107</v>
      </c>
      <c r="B86" s="16" t="s">
        <v>45</v>
      </c>
      <c r="C86" s="16" t="s">
        <v>31</v>
      </c>
      <c r="D86" s="17" t="s">
        <v>34</v>
      </c>
      <c r="E86" s="17" t="s">
        <v>47</v>
      </c>
    </row>
    <row r="87" spans="1:5" x14ac:dyDescent="0.35">
      <c r="A87" s="15">
        <v>36107</v>
      </c>
      <c r="B87" s="16" t="s">
        <v>44</v>
      </c>
      <c r="C87" s="16" t="s">
        <v>33</v>
      </c>
      <c r="D87" s="17" t="s">
        <v>4</v>
      </c>
      <c r="E87" s="17" t="s">
        <v>46</v>
      </c>
    </row>
    <row r="88" spans="1:5" x14ac:dyDescent="0.35">
      <c r="A88" s="15">
        <v>36131</v>
      </c>
      <c r="B88" s="16" t="s">
        <v>41</v>
      </c>
      <c r="C88" s="16" t="s">
        <v>33</v>
      </c>
      <c r="D88" s="17" t="s">
        <v>35</v>
      </c>
      <c r="E88" s="17" t="s">
        <v>46</v>
      </c>
    </row>
    <row r="89" spans="1:5" x14ac:dyDescent="0.35">
      <c r="A89" s="15">
        <v>36168</v>
      </c>
      <c r="B89" s="16" t="s">
        <v>41</v>
      </c>
      <c r="C89" s="16" t="s">
        <v>9</v>
      </c>
      <c r="D89" s="17" t="s">
        <v>34</v>
      </c>
      <c r="E89" s="17" t="s">
        <v>46</v>
      </c>
    </row>
    <row r="90" spans="1:5" x14ac:dyDescent="0.35">
      <c r="A90" s="15">
        <v>36177</v>
      </c>
      <c r="B90" s="16" t="s">
        <v>41</v>
      </c>
      <c r="C90" s="16" t="s">
        <v>12</v>
      </c>
      <c r="D90" s="17" t="s">
        <v>36</v>
      </c>
      <c r="E90" s="17" t="s">
        <v>46</v>
      </c>
    </row>
    <row r="91" spans="1:5" x14ac:dyDescent="0.35">
      <c r="A91" s="15">
        <v>36188</v>
      </c>
      <c r="B91" s="16" t="s">
        <v>42</v>
      </c>
      <c r="C91" s="16" t="s">
        <v>32</v>
      </c>
      <c r="D91" s="17" t="s">
        <v>34</v>
      </c>
      <c r="E91" s="17" t="s">
        <v>47</v>
      </c>
    </row>
    <row r="92" spans="1:5" x14ac:dyDescent="0.35">
      <c r="A92" s="15">
        <v>36191</v>
      </c>
      <c r="B92" s="16" t="s">
        <v>38</v>
      </c>
      <c r="C92" s="16" t="s">
        <v>12</v>
      </c>
      <c r="D92" s="17" t="s">
        <v>36</v>
      </c>
      <c r="E92" s="17" t="s">
        <v>47</v>
      </c>
    </row>
    <row r="93" spans="1:5" x14ac:dyDescent="0.35">
      <c r="A93" s="15">
        <v>36192</v>
      </c>
      <c r="B93" s="16" t="s">
        <v>39</v>
      </c>
      <c r="C93" s="16" t="s">
        <v>9</v>
      </c>
      <c r="D93" s="17" t="s">
        <v>36</v>
      </c>
      <c r="E93" s="17" t="s">
        <v>47</v>
      </c>
    </row>
    <row r="94" spans="1:5" x14ac:dyDescent="0.35">
      <c r="A94" s="15">
        <v>36193</v>
      </c>
      <c r="B94" s="16" t="s">
        <v>37</v>
      </c>
      <c r="C94" s="16" t="s">
        <v>6</v>
      </c>
      <c r="D94" s="17" t="s">
        <v>34</v>
      </c>
      <c r="E94" s="17" t="s">
        <v>47</v>
      </c>
    </row>
    <row r="95" spans="1:5" x14ac:dyDescent="0.35">
      <c r="A95" s="15">
        <v>36214</v>
      </c>
      <c r="B95" s="16" t="s">
        <v>38</v>
      </c>
      <c r="C95" s="16" t="s">
        <v>6</v>
      </c>
      <c r="D95" s="17" t="s">
        <v>36</v>
      </c>
      <c r="E95" s="17" t="s">
        <v>46</v>
      </c>
    </row>
    <row r="96" spans="1:5" x14ac:dyDescent="0.35">
      <c r="A96" s="15">
        <v>36217</v>
      </c>
      <c r="B96" s="16" t="s">
        <v>38</v>
      </c>
      <c r="C96" s="16" t="s">
        <v>11</v>
      </c>
      <c r="D96" s="17" t="s">
        <v>35</v>
      </c>
      <c r="E96" s="17" t="s">
        <v>47</v>
      </c>
    </row>
    <row r="97" spans="1:5" x14ac:dyDescent="0.35">
      <c r="A97" s="15">
        <v>36223</v>
      </c>
      <c r="B97" s="16" t="s">
        <v>38</v>
      </c>
      <c r="C97" s="16" t="s">
        <v>6</v>
      </c>
      <c r="D97" s="17" t="s">
        <v>4</v>
      </c>
      <c r="E97" s="17" t="s">
        <v>46</v>
      </c>
    </row>
    <row r="98" spans="1:5" x14ac:dyDescent="0.35">
      <c r="A98" s="15">
        <v>36226</v>
      </c>
      <c r="B98" s="16" t="s">
        <v>38</v>
      </c>
      <c r="C98" s="16" t="s">
        <v>31</v>
      </c>
      <c r="D98" s="17" t="s">
        <v>4</v>
      </c>
      <c r="E98" s="17" t="s">
        <v>47</v>
      </c>
    </row>
    <row r="99" spans="1:5" x14ac:dyDescent="0.35">
      <c r="A99" s="15">
        <v>36240</v>
      </c>
      <c r="B99" s="16" t="s">
        <v>37</v>
      </c>
      <c r="C99" s="16" t="s">
        <v>11</v>
      </c>
      <c r="D99" s="17" t="s">
        <v>34</v>
      </c>
      <c r="E99" s="17" t="s">
        <v>46</v>
      </c>
    </row>
    <row r="100" spans="1:5" x14ac:dyDescent="0.35">
      <c r="A100" s="15">
        <v>36244</v>
      </c>
      <c r="B100" s="16" t="s">
        <v>44</v>
      </c>
      <c r="C100" s="16" t="s">
        <v>10</v>
      </c>
      <c r="D100" s="17" t="s">
        <v>34</v>
      </c>
      <c r="E100" s="17" t="s">
        <v>46</v>
      </c>
    </row>
    <row r="101" spans="1:5" x14ac:dyDescent="0.35">
      <c r="A101" s="15">
        <v>36255</v>
      </c>
      <c r="B101" s="16" t="s">
        <v>38</v>
      </c>
      <c r="C101" s="16" t="s">
        <v>33</v>
      </c>
      <c r="D101" s="17" t="s">
        <v>34</v>
      </c>
      <c r="E101" s="17" t="s">
        <v>47</v>
      </c>
    </row>
    <row r="102" spans="1:5" x14ac:dyDescent="0.35">
      <c r="A102" s="15">
        <v>36260</v>
      </c>
      <c r="B102" s="16" t="s">
        <v>39</v>
      </c>
      <c r="C102" s="16" t="s">
        <v>9</v>
      </c>
      <c r="D102" s="17" t="s">
        <v>36</v>
      </c>
      <c r="E102" s="17" t="s">
        <v>47</v>
      </c>
    </row>
    <row r="103" spans="1:5" x14ac:dyDescent="0.35">
      <c r="A103" s="15">
        <v>36263</v>
      </c>
      <c r="B103" s="16" t="s">
        <v>39</v>
      </c>
      <c r="C103" s="16" t="s">
        <v>9</v>
      </c>
      <c r="D103" s="17" t="s">
        <v>35</v>
      </c>
      <c r="E103" s="17" t="s">
        <v>47</v>
      </c>
    </row>
    <row r="104" spans="1:5" x14ac:dyDescent="0.35">
      <c r="A104" s="15">
        <v>36265</v>
      </c>
      <c r="B104" s="16" t="s">
        <v>43</v>
      </c>
      <c r="C104" s="16" t="s">
        <v>33</v>
      </c>
      <c r="D104" s="17" t="s">
        <v>35</v>
      </c>
      <c r="E104" s="17" t="s">
        <v>47</v>
      </c>
    </row>
    <row r="105" spans="1:5" x14ac:dyDescent="0.35">
      <c r="A105" s="15">
        <v>36266</v>
      </c>
      <c r="B105" s="16" t="s">
        <v>38</v>
      </c>
      <c r="C105" s="16" t="s">
        <v>8</v>
      </c>
      <c r="D105" s="17" t="s">
        <v>36</v>
      </c>
      <c r="E105" s="17" t="s">
        <v>47</v>
      </c>
    </row>
    <row r="106" spans="1:5" x14ac:dyDescent="0.35">
      <c r="A106" s="15">
        <v>36266</v>
      </c>
      <c r="B106" s="16" t="s">
        <v>38</v>
      </c>
      <c r="C106" s="16" t="s">
        <v>7</v>
      </c>
      <c r="D106" s="17" t="s">
        <v>35</v>
      </c>
      <c r="E106" s="17" t="s">
        <v>47</v>
      </c>
    </row>
    <row r="107" spans="1:5" x14ac:dyDescent="0.35">
      <c r="A107" s="15">
        <v>36266</v>
      </c>
      <c r="B107" s="16" t="s">
        <v>38</v>
      </c>
      <c r="C107" s="16" t="s">
        <v>12</v>
      </c>
      <c r="D107" s="17" t="s">
        <v>4</v>
      </c>
      <c r="E107" s="17" t="s">
        <v>47</v>
      </c>
    </row>
    <row r="108" spans="1:5" x14ac:dyDescent="0.35">
      <c r="A108" s="15">
        <v>36269</v>
      </c>
      <c r="B108" s="16" t="s">
        <v>37</v>
      </c>
      <c r="C108" s="16" t="s">
        <v>6</v>
      </c>
      <c r="D108" s="17" t="s">
        <v>4</v>
      </c>
      <c r="E108" s="17" t="s">
        <v>46</v>
      </c>
    </row>
    <row r="109" spans="1:5" x14ac:dyDescent="0.35">
      <c r="A109" s="15">
        <v>36282</v>
      </c>
      <c r="B109" s="16" t="s">
        <v>42</v>
      </c>
      <c r="C109" s="16" t="s">
        <v>7</v>
      </c>
      <c r="D109" s="17" t="s">
        <v>35</v>
      </c>
      <c r="E109" s="17" t="s">
        <v>46</v>
      </c>
    </row>
    <row r="110" spans="1:5" x14ac:dyDescent="0.35">
      <c r="A110" s="15">
        <v>36327</v>
      </c>
      <c r="B110" s="16" t="s">
        <v>45</v>
      </c>
      <c r="C110" s="16" t="s">
        <v>33</v>
      </c>
      <c r="D110" s="17" t="s">
        <v>34</v>
      </c>
      <c r="E110" s="17" t="s">
        <v>47</v>
      </c>
    </row>
    <row r="111" spans="1:5" x14ac:dyDescent="0.35">
      <c r="A111" s="15">
        <v>36339</v>
      </c>
      <c r="B111" s="16" t="s">
        <v>44</v>
      </c>
      <c r="C111" s="16" t="s">
        <v>12</v>
      </c>
      <c r="D111" s="17" t="s">
        <v>36</v>
      </c>
      <c r="E111" s="17" t="s">
        <v>46</v>
      </c>
    </row>
    <row r="112" spans="1:5" x14ac:dyDescent="0.35">
      <c r="A112" s="15">
        <v>36342</v>
      </c>
      <c r="B112" s="16" t="s">
        <v>45</v>
      </c>
      <c r="C112" s="16" t="s">
        <v>5</v>
      </c>
      <c r="D112" s="17" t="s">
        <v>4</v>
      </c>
      <c r="E112" s="17" t="s">
        <v>46</v>
      </c>
    </row>
    <row r="113" spans="1:5" x14ac:dyDescent="0.35">
      <c r="A113" s="15">
        <v>36356</v>
      </c>
      <c r="B113" s="16" t="s">
        <v>38</v>
      </c>
      <c r="C113" s="16" t="s">
        <v>12</v>
      </c>
      <c r="D113" s="17" t="s">
        <v>36</v>
      </c>
      <c r="E113" s="17" t="s">
        <v>47</v>
      </c>
    </row>
    <row r="114" spans="1:5" x14ac:dyDescent="0.35">
      <c r="A114" s="15">
        <v>36366</v>
      </c>
      <c r="B114" s="16" t="s">
        <v>41</v>
      </c>
      <c r="C114" s="16" t="s">
        <v>31</v>
      </c>
      <c r="D114" s="17" t="s">
        <v>4</v>
      </c>
      <c r="E114" s="17" t="s">
        <v>47</v>
      </c>
    </row>
    <row r="115" spans="1:5" x14ac:dyDescent="0.35">
      <c r="A115" s="15">
        <v>36368</v>
      </c>
      <c r="B115" s="16" t="s">
        <v>39</v>
      </c>
      <c r="C115" s="16" t="s">
        <v>32</v>
      </c>
      <c r="D115" s="17" t="s">
        <v>4</v>
      </c>
      <c r="E115" s="17" t="s">
        <v>47</v>
      </c>
    </row>
    <row r="116" spans="1:5" x14ac:dyDescent="0.35">
      <c r="A116" s="15">
        <v>36382</v>
      </c>
      <c r="B116" s="16" t="s">
        <v>45</v>
      </c>
      <c r="C116" s="16" t="s">
        <v>31</v>
      </c>
      <c r="D116" s="17" t="s">
        <v>35</v>
      </c>
      <c r="E116" s="17" t="s">
        <v>47</v>
      </c>
    </row>
    <row r="117" spans="1:5" x14ac:dyDescent="0.35">
      <c r="A117" s="15">
        <v>36390</v>
      </c>
      <c r="B117" s="16" t="s">
        <v>39</v>
      </c>
      <c r="C117" s="16" t="s">
        <v>6</v>
      </c>
      <c r="D117" s="17" t="s">
        <v>34</v>
      </c>
      <c r="E117" s="17" t="s">
        <v>47</v>
      </c>
    </row>
    <row r="118" spans="1:5" x14ac:dyDescent="0.35">
      <c r="A118" s="15">
        <v>36393</v>
      </c>
      <c r="B118" s="16" t="s">
        <v>44</v>
      </c>
      <c r="C118" s="16" t="s">
        <v>6</v>
      </c>
      <c r="D118" s="17" t="s">
        <v>34</v>
      </c>
      <c r="E118" s="17" t="s">
        <v>47</v>
      </c>
    </row>
    <row r="119" spans="1:5" x14ac:dyDescent="0.35">
      <c r="A119" s="15">
        <v>36407</v>
      </c>
      <c r="B119" s="16" t="s">
        <v>41</v>
      </c>
      <c r="C119" s="16" t="s">
        <v>5</v>
      </c>
      <c r="D119" s="17" t="s">
        <v>36</v>
      </c>
      <c r="E119" s="17" t="s">
        <v>46</v>
      </c>
    </row>
    <row r="120" spans="1:5" x14ac:dyDescent="0.35">
      <c r="A120" s="15">
        <v>36430</v>
      </c>
      <c r="B120" s="16" t="s">
        <v>41</v>
      </c>
      <c r="C120" s="16" t="s">
        <v>11</v>
      </c>
      <c r="D120" s="17" t="s">
        <v>36</v>
      </c>
      <c r="E120" s="17" t="s">
        <v>46</v>
      </c>
    </row>
    <row r="121" spans="1:5" x14ac:dyDescent="0.35">
      <c r="A121" s="15">
        <v>36441</v>
      </c>
      <c r="B121" s="16" t="s">
        <v>41</v>
      </c>
      <c r="C121" s="16" t="s">
        <v>31</v>
      </c>
      <c r="D121" s="17" t="s">
        <v>35</v>
      </c>
      <c r="E121" s="17" t="s">
        <v>47</v>
      </c>
    </row>
    <row r="122" spans="1:5" x14ac:dyDescent="0.35">
      <c r="A122" s="15">
        <v>36442</v>
      </c>
      <c r="B122" s="16" t="s">
        <v>37</v>
      </c>
      <c r="C122" s="16" t="s">
        <v>10</v>
      </c>
      <c r="D122" s="17" t="s">
        <v>35</v>
      </c>
      <c r="E122" s="17" t="s">
        <v>46</v>
      </c>
    </row>
    <row r="123" spans="1:5" x14ac:dyDescent="0.35">
      <c r="A123" s="15">
        <v>36445</v>
      </c>
      <c r="B123" s="16" t="s">
        <v>41</v>
      </c>
      <c r="C123" s="16" t="s">
        <v>11</v>
      </c>
      <c r="D123" s="17" t="s">
        <v>35</v>
      </c>
      <c r="E123" s="17" t="s">
        <v>47</v>
      </c>
    </row>
    <row r="124" spans="1:5" x14ac:dyDescent="0.35">
      <c r="A124" s="15">
        <v>36447</v>
      </c>
      <c r="B124" s="16" t="s">
        <v>38</v>
      </c>
      <c r="C124" s="16" t="s">
        <v>5</v>
      </c>
      <c r="D124" s="17" t="s">
        <v>4</v>
      </c>
      <c r="E124" s="17" t="s">
        <v>47</v>
      </c>
    </row>
    <row r="125" spans="1:5" x14ac:dyDescent="0.35">
      <c r="A125" s="15">
        <v>36449</v>
      </c>
      <c r="B125" s="16" t="s">
        <v>41</v>
      </c>
      <c r="C125" s="16" t="s">
        <v>10</v>
      </c>
      <c r="D125" s="17" t="s">
        <v>4</v>
      </c>
      <c r="E125" s="17" t="s">
        <v>46</v>
      </c>
    </row>
    <row r="126" spans="1:5" x14ac:dyDescent="0.35">
      <c r="A126" s="15">
        <v>36457</v>
      </c>
      <c r="B126" s="16" t="s">
        <v>39</v>
      </c>
      <c r="C126" s="16" t="s">
        <v>6</v>
      </c>
      <c r="D126" s="17" t="s">
        <v>4</v>
      </c>
      <c r="E126" s="17" t="s">
        <v>47</v>
      </c>
    </row>
    <row r="127" spans="1:5" x14ac:dyDescent="0.35">
      <c r="A127" s="15">
        <v>36483</v>
      </c>
      <c r="B127" s="16" t="s">
        <v>45</v>
      </c>
      <c r="C127" s="16" t="s">
        <v>33</v>
      </c>
      <c r="D127" s="17" t="s">
        <v>4</v>
      </c>
      <c r="E127" s="17" t="s">
        <v>46</v>
      </c>
    </row>
    <row r="128" spans="1:5" x14ac:dyDescent="0.35">
      <c r="A128" s="15">
        <v>36483</v>
      </c>
      <c r="B128" s="16" t="s">
        <v>40</v>
      </c>
      <c r="C128" s="16" t="s">
        <v>9</v>
      </c>
      <c r="D128" s="17" t="s">
        <v>34</v>
      </c>
      <c r="E128" s="17" t="s">
        <v>46</v>
      </c>
    </row>
    <row r="129" spans="1:5" x14ac:dyDescent="0.35">
      <c r="A129" s="15">
        <v>36511</v>
      </c>
      <c r="B129" s="16" t="s">
        <v>44</v>
      </c>
      <c r="C129" s="16" t="s">
        <v>10</v>
      </c>
      <c r="D129" s="17" t="s">
        <v>34</v>
      </c>
      <c r="E129" s="17" t="s">
        <v>47</v>
      </c>
    </row>
    <row r="130" spans="1:5" x14ac:dyDescent="0.35">
      <c r="A130" s="15">
        <v>36515</v>
      </c>
      <c r="B130" s="16" t="s">
        <v>45</v>
      </c>
      <c r="C130" s="16" t="s">
        <v>33</v>
      </c>
      <c r="D130" s="17" t="s">
        <v>36</v>
      </c>
      <c r="E130" s="17" t="s">
        <v>46</v>
      </c>
    </row>
    <row r="131" spans="1:5" x14ac:dyDescent="0.35">
      <c r="A131" s="15">
        <v>36516</v>
      </c>
      <c r="B131" s="16" t="s">
        <v>40</v>
      </c>
      <c r="C131" s="16" t="s">
        <v>11</v>
      </c>
      <c r="D131" s="17" t="s">
        <v>4</v>
      </c>
      <c r="E131" s="17" t="s">
        <v>47</v>
      </c>
    </row>
    <row r="132" spans="1:5" x14ac:dyDescent="0.35">
      <c r="A132" s="15">
        <v>36518</v>
      </c>
      <c r="B132" s="16" t="s">
        <v>40</v>
      </c>
      <c r="C132" s="16" t="s">
        <v>10</v>
      </c>
      <c r="D132" s="17" t="s">
        <v>34</v>
      </c>
      <c r="E132" s="17" t="s">
        <v>46</v>
      </c>
    </row>
    <row r="133" spans="1:5" x14ac:dyDescent="0.35">
      <c r="A133" s="15">
        <v>36525</v>
      </c>
      <c r="B133" s="16" t="s">
        <v>44</v>
      </c>
      <c r="C133" s="16" t="s">
        <v>31</v>
      </c>
      <c r="D133" s="17" t="s">
        <v>34</v>
      </c>
      <c r="E133" s="17" t="s">
        <v>46</v>
      </c>
    </row>
    <row r="134" spans="1:5" x14ac:dyDescent="0.35">
      <c r="A134" s="15">
        <v>36529</v>
      </c>
      <c r="B134" s="16" t="s">
        <v>39</v>
      </c>
      <c r="C134" s="16" t="s">
        <v>5</v>
      </c>
      <c r="D134" s="17" t="s">
        <v>35</v>
      </c>
      <c r="E134" s="17" t="s">
        <v>47</v>
      </c>
    </row>
    <row r="135" spans="1:5" x14ac:dyDescent="0.35">
      <c r="A135" s="15">
        <v>36542</v>
      </c>
      <c r="B135" s="16" t="s">
        <v>45</v>
      </c>
      <c r="C135" s="16" t="s">
        <v>32</v>
      </c>
      <c r="D135" s="17" t="s">
        <v>4</v>
      </c>
      <c r="E135" s="17" t="s">
        <v>47</v>
      </c>
    </row>
    <row r="136" spans="1:5" x14ac:dyDescent="0.35">
      <c r="A136" s="15">
        <v>36560</v>
      </c>
      <c r="B136" s="16" t="s">
        <v>40</v>
      </c>
      <c r="C136" s="16" t="s">
        <v>32</v>
      </c>
      <c r="D136" s="17" t="s">
        <v>35</v>
      </c>
      <c r="E136" s="17" t="s">
        <v>47</v>
      </c>
    </row>
    <row r="137" spans="1:5" x14ac:dyDescent="0.35">
      <c r="A137" s="15">
        <v>36564</v>
      </c>
      <c r="B137" s="16" t="s">
        <v>40</v>
      </c>
      <c r="C137" s="16" t="s">
        <v>8</v>
      </c>
      <c r="D137" s="17" t="s">
        <v>34</v>
      </c>
      <c r="E137" s="17" t="s">
        <v>47</v>
      </c>
    </row>
    <row r="138" spans="1:5" x14ac:dyDescent="0.35">
      <c r="A138" s="15">
        <v>36596</v>
      </c>
      <c r="B138" s="16" t="s">
        <v>40</v>
      </c>
      <c r="C138" s="16" t="s">
        <v>31</v>
      </c>
      <c r="D138" s="17" t="s">
        <v>35</v>
      </c>
      <c r="E138" s="17" t="s">
        <v>46</v>
      </c>
    </row>
    <row r="139" spans="1:5" x14ac:dyDescent="0.35">
      <c r="A139" s="15">
        <v>36598</v>
      </c>
      <c r="B139" s="16" t="s">
        <v>40</v>
      </c>
      <c r="C139" s="16" t="s">
        <v>5</v>
      </c>
      <c r="D139" s="17" t="s">
        <v>35</v>
      </c>
      <c r="E139" s="17" t="s">
        <v>46</v>
      </c>
    </row>
    <row r="140" spans="1:5" x14ac:dyDescent="0.35">
      <c r="A140" s="15">
        <v>36610</v>
      </c>
      <c r="B140" s="16" t="s">
        <v>44</v>
      </c>
      <c r="C140" s="16" t="s">
        <v>10</v>
      </c>
      <c r="D140" s="17" t="s">
        <v>4</v>
      </c>
      <c r="E140" s="17" t="s">
        <v>47</v>
      </c>
    </row>
    <row r="141" spans="1:5" x14ac:dyDescent="0.35">
      <c r="A141" s="15">
        <v>36615</v>
      </c>
      <c r="B141" s="16" t="s">
        <v>43</v>
      </c>
      <c r="C141" s="16" t="s">
        <v>32</v>
      </c>
      <c r="D141" s="17" t="s">
        <v>4</v>
      </c>
      <c r="E141" s="17" t="s">
        <v>47</v>
      </c>
    </row>
    <row r="142" spans="1:5" x14ac:dyDescent="0.35">
      <c r="A142" s="15">
        <v>36629</v>
      </c>
      <c r="B142" s="16" t="s">
        <v>37</v>
      </c>
      <c r="C142" s="16" t="s">
        <v>32</v>
      </c>
      <c r="D142" s="17" t="s">
        <v>34</v>
      </c>
      <c r="E142" s="17" t="s">
        <v>47</v>
      </c>
    </row>
    <row r="143" spans="1:5" x14ac:dyDescent="0.35">
      <c r="A143" s="15">
        <v>36635</v>
      </c>
      <c r="B143" s="16" t="s">
        <v>40</v>
      </c>
      <c r="C143" s="16" t="s">
        <v>31</v>
      </c>
      <c r="D143" s="17" t="s">
        <v>35</v>
      </c>
      <c r="E143" s="17" t="s">
        <v>46</v>
      </c>
    </row>
    <row r="144" spans="1:5" x14ac:dyDescent="0.35">
      <c r="A144" s="15">
        <v>36641</v>
      </c>
      <c r="B144" s="16" t="s">
        <v>38</v>
      </c>
      <c r="C144" s="16" t="s">
        <v>6</v>
      </c>
      <c r="D144" s="17" t="s">
        <v>35</v>
      </c>
      <c r="E144" s="17" t="s">
        <v>46</v>
      </c>
    </row>
    <row r="145" spans="1:5" x14ac:dyDescent="0.35">
      <c r="A145" s="15">
        <v>36650</v>
      </c>
      <c r="B145" s="16" t="s">
        <v>37</v>
      </c>
      <c r="C145" s="16" t="s">
        <v>10</v>
      </c>
      <c r="D145" s="17" t="s">
        <v>36</v>
      </c>
      <c r="E145" s="17" t="s">
        <v>47</v>
      </c>
    </row>
    <row r="146" spans="1:5" x14ac:dyDescent="0.35">
      <c r="A146" s="15">
        <v>36663</v>
      </c>
      <c r="B146" s="16" t="s">
        <v>44</v>
      </c>
      <c r="C146" s="16" t="s">
        <v>31</v>
      </c>
      <c r="D146" s="17" t="s">
        <v>35</v>
      </c>
      <c r="E146" s="17" t="s">
        <v>46</v>
      </c>
    </row>
    <row r="147" spans="1:5" x14ac:dyDescent="0.35">
      <c r="A147" s="15">
        <v>36668</v>
      </c>
      <c r="B147" s="16" t="s">
        <v>39</v>
      </c>
      <c r="C147" s="16" t="s">
        <v>6</v>
      </c>
      <c r="D147" s="17" t="s">
        <v>35</v>
      </c>
      <c r="E147" s="17" t="s">
        <v>46</v>
      </c>
    </row>
    <row r="148" spans="1:5" x14ac:dyDescent="0.35">
      <c r="A148" s="15">
        <v>36668</v>
      </c>
      <c r="B148" s="16" t="s">
        <v>37</v>
      </c>
      <c r="C148" s="16" t="s">
        <v>7</v>
      </c>
      <c r="D148" s="17" t="s">
        <v>34</v>
      </c>
      <c r="E148" s="17" t="s">
        <v>47</v>
      </c>
    </row>
    <row r="149" spans="1:5" x14ac:dyDescent="0.35">
      <c r="A149" s="15">
        <v>36673</v>
      </c>
      <c r="B149" s="16" t="s">
        <v>38</v>
      </c>
      <c r="C149" s="16" t="s">
        <v>32</v>
      </c>
      <c r="D149" s="17" t="s">
        <v>35</v>
      </c>
      <c r="E149" s="17" t="s">
        <v>47</v>
      </c>
    </row>
    <row r="150" spans="1:5" x14ac:dyDescent="0.35">
      <c r="A150" s="15">
        <v>36691</v>
      </c>
      <c r="B150" s="16" t="s">
        <v>40</v>
      </c>
      <c r="C150" s="16" t="s">
        <v>33</v>
      </c>
      <c r="D150" s="17" t="s">
        <v>36</v>
      </c>
      <c r="E150" s="17" t="s">
        <v>47</v>
      </c>
    </row>
    <row r="151" spans="1:5" x14ac:dyDescent="0.35">
      <c r="A151" s="15">
        <v>36692</v>
      </c>
      <c r="B151" s="16" t="s">
        <v>37</v>
      </c>
      <c r="C151" s="16" t="s">
        <v>33</v>
      </c>
      <c r="D151" s="17" t="s">
        <v>34</v>
      </c>
      <c r="E151" s="17" t="s">
        <v>47</v>
      </c>
    </row>
    <row r="152" spans="1:5" x14ac:dyDescent="0.35">
      <c r="A152" s="15">
        <v>36697</v>
      </c>
      <c r="B152" s="16" t="s">
        <v>42</v>
      </c>
      <c r="C152" s="16" t="s">
        <v>7</v>
      </c>
      <c r="D152" s="17" t="s">
        <v>4</v>
      </c>
      <c r="E152" s="17" t="s">
        <v>46</v>
      </c>
    </row>
    <row r="153" spans="1:5" x14ac:dyDescent="0.35">
      <c r="A153" s="15">
        <v>36703</v>
      </c>
      <c r="B153" s="16" t="s">
        <v>38</v>
      </c>
      <c r="C153" s="16" t="s">
        <v>8</v>
      </c>
      <c r="D153" s="17" t="s">
        <v>36</v>
      </c>
      <c r="E153" s="17" t="s">
        <v>46</v>
      </c>
    </row>
    <row r="154" spans="1:5" x14ac:dyDescent="0.35">
      <c r="A154" s="15">
        <v>36709</v>
      </c>
      <c r="B154" s="16" t="s">
        <v>39</v>
      </c>
      <c r="C154" s="16" t="s">
        <v>11</v>
      </c>
      <c r="D154" s="17" t="s">
        <v>36</v>
      </c>
      <c r="E154" s="17" t="s">
        <v>46</v>
      </c>
    </row>
    <row r="155" spans="1:5" x14ac:dyDescent="0.35">
      <c r="A155" s="15">
        <v>36709</v>
      </c>
      <c r="B155" s="16" t="s">
        <v>45</v>
      </c>
      <c r="C155" s="16" t="s">
        <v>11</v>
      </c>
      <c r="D155" s="17" t="s">
        <v>35</v>
      </c>
      <c r="E155" s="17" t="s">
        <v>47</v>
      </c>
    </row>
    <row r="156" spans="1:5" x14ac:dyDescent="0.35">
      <c r="A156" s="15">
        <v>36726</v>
      </c>
      <c r="B156" s="16" t="s">
        <v>39</v>
      </c>
      <c r="C156" s="16" t="s">
        <v>7</v>
      </c>
      <c r="D156" s="17" t="s">
        <v>35</v>
      </c>
      <c r="E156" s="17" t="s">
        <v>47</v>
      </c>
    </row>
    <row r="157" spans="1:5" x14ac:dyDescent="0.35">
      <c r="A157" s="15">
        <v>36737</v>
      </c>
      <c r="B157" s="16" t="s">
        <v>41</v>
      </c>
      <c r="C157" s="16" t="s">
        <v>32</v>
      </c>
      <c r="D157" s="17" t="s">
        <v>34</v>
      </c>
      <c r="E157" s="17" t="s">
        <v>46</v>
      </c>
    </row>
    <row r="158" spans="1:5" x14ac:dyDescent="0.35">
      <c r="A158" s="15">
        <v>36737</v>
      </c>
      <c r="B158" s="16" t="s">
        <v>38</v>
      </c>
      <c r="C158" s="16" t="s">
        <v>5</v>
      </c>
      <c r="D158" s="17" t="s">
        <v>4</v>
      </c>
      <c r="E158" s="17" t="s">
        <v>46</v>
      </c>
    </row>
    <row r="159" spans="1:5" x14ac:dyDescent="0.35">
      <c r="A159" s="15">
        <v>36763</v>
      </c>
      <c r="B159" s="16" t="s">
        <v>40</v>
      </c>
      <c r="C159" s="16" t="s">
        <v>5</v>
      </c>
      <c r="D159" s="17" t="s">
        <v>34</v>
      </c>
      <c r="E159" s="17" t="s">
        <v>47</v>
      </c>
    </row>
    <row r="160" spans="1:5" x14ac:dyDescent="0.35">
      <c r="A160" s="15">
        <v>36765</v>
      </c>
      <c r="B160" s="16" t="s">
        <v>38</v>
      </c>
      <c r="C160" s="16" t="s">
        <v>8</v>
      </c>
      <c r="D160" s="17" t="s">
        <v>34</v>
      </c>
      <c r="E160" s="17" t="s">
        <v>47</v>
      </c>
    </row>
    <row r="161" spans="1:5" x14ac:dyDescent="0.35">
      <c r="A161" s="15">
        <v>36772</v>
      </c>
      <c r="B161" s="16" t="s">
        <v>43</v>
      </c>
      <c r="C161" s="16" t="s">
        <v>10</v>
      </c>
      <c r="D161" s="17" t="s">
        <v>36</v>
      </c>
      <c r="E161" s="17" t="s">
        <v>47</v>
      </c>
    </row>
    <row r="162" spans="1:5" x14ac:dyDescent="0.35">
      <c r="A162" s="15">
        <v>36777</v>
      </c>
      <c r="B162" s="16" t="s">
        <v>43</v>
      </c>
      <c r="C162" s="16" t="s">
        <v>12</v>
      </c>
      <c r="D162" s="17" t="s">
        <v>35</v>
      </c>
      <c r="E162" s="17" t="s">
        <v>47</v>
      </c>
    </row>
    <row r="163" spans="1:5" x14ac:dyDescent="0.35">
      <c r="A163" s="15">
        <v>36779</v>
      </c>
      <c r="B163" s="16" t="s">
        <v>40</v>
      </c>
      <c r="C163" s="16" t="s">
        <v>8</v>
      </c>
      <c r="D163" s="17" t="s">
        <v>4</v>
      </c>
      <c r="E163" s="17" t="s">
        <v>46</v>
      </c>
    </row>
    <row r="164" spans="1:5" x14ac:dyDescent="0.35">
      <c r="A164" s="15">
        <v>36799</v>
      </c>
      <c r="B164" s="16" t="s">
        <v>45</v>
      </c>
      <c r="C164" s="16" t="s">
        <v>7</v>
      </c>
      <c r="D164" s="17" t="s">
        <v>34</v>
      </c>
      <c r="E164" s="17" t="s">
        <v>47</v>
      </c>
    </row>
    <row r="165" spans="1:5" x14ac:dyDescent="0.35">
      <c r="A165" s="15">
        <v>36804</v>
      </c>
      <c r="B165" s="16" t="s">
        <v>40</v>
      </c>
      <c r="C165" s="16" t="s">
        <v>32</v>
      </c>
      <c r="D165" s="17" t="s">
        <v>35</v>
      </c>
      <c r="E165" s="17" t="s">
        <v>46</v>
      </c>
    </row>
    <row r="166" spans="1:5" x14ac:dyDescent="0.35">
      <c r="A166" s="15">
        <v>36806</v>
      </c>
      <c r="B166" s="16" t="s">
        <v>45</v>
      </c>
      <c r="C166" s="16" t="s">
        <v>5</v>
      </c>
      <c r="D166" s="17" t="s">
        <v>34</v>
      </c>
      <c r="E166" s="17" t="s">
        <v>47</v>
      </c>
    </row>
    <row r="167" spans="1:5" x14ac:dyDescent="0.35">
      <c r="A167" s="15">
        <v>36809</v>
      </c>
      <c r="B167" s="16" t="s">
        <v>38</v>
      </c>
      <c r="C167" s="16" t="s">
        <v>5</v>
      </c>
      <c r="D167" s="17" t="s">
        <v>34</v>
      </c>
      <c r="E167" s="17" t="s">
        <v>47</v>
      </c>
    </row>
    <row r="168" spans="1:5" x14ac:dyDescent="0.35">
      <c r="A168" s="15">
        <v>36828</v>
      </c>
      <c r="B168" s="16" t="s">
        <v>40</v>
      </c>
      <c r="C168" s="16" t="s">
        <v>9</v>
      </c>
      <c r="D168" s="17" t="s">
        <v>35</v>
      </c>
      <c r="E168" s="17" t="s">
        <v>47</v>
      </c>
    </row>
    <row r="169" spans="1:5" x14ac:dyDescent="0.35">
      <c r="A169" s="15">
        <v>36834</v>
      </c>
      <c r="B169" s="16" t="s">
        <v>40</v>
      </c>
      <c r="C169" s="16" t="s">
        <v>11</v>
      </c>
      <c r="D169" s="17" t="s">
        <v>34</v>
      </c>
      <c r="E169" s="17" t="s">
        <v>47</v>
      </c>
    </row>
    <row r="170" spans="1:5" x14ac:dyDescent="0.35">
      <c r="A170" s="15">
        <v>36852</v>
      </c>
      <c r="B170" s="16" t="s">
        <v>38</v>
      </c>
      <c r="C170" s="16" t="s">
        <v>5</v>
      </c>
      <c r="D170" s="17" t="s">
        <v>35</v>
      </c>
      <c r="E170" s="17" t="s">
        <v>47</v>
      </c>
    </row>
    <row r="171" spans="1:5" x14ac:dyDescent="0.35">
      <c r="A171" s="15">
        <v>36860</v>
      </c>
      <c r="B171" s="16" t="s">
        <v>37</v>
      </c>
      <c r="C171" s="16" t="s">
        <v>33</v>
      </c>
      <c r="D171" s="17" t="s">
        <v>35</v>
      </c>
      <c r="E171" s="17" t="s">
        <v>46</v>
      </c>
    </row>
    <row r="172" spans="1:5" x14ac:dyDescent="0.35">
      <c r="A172" s="15">
        <v>36886</v>
      </c>
      <c r="B172" s="16" t="s">
        <v>44</v>
      </c>
      <c r="C172" s="16" t="s">
        <v>10</v>
      </c>
      <c r="D172" s="17" t="s">
        <v>34</v>
      </c>
      <c r="E172" s="17" t="s">
        <v>47</v>
      </c>
    </row>
    <row r="173" spans="1:5" x14ac:dyDescent="0.35">
      <c r="A173" s="15">
        <v>36890</v>
      </c>
      <c r="B173" s="16" t="s">
        <v>43</v>
      </c>
      <c r="C173" s="16" t="s">
        <v>12</v>
      </c>
      <c r="D173" s="17" t="s">
        <v>35</v>
      </c>
      <c r="E173" s="17" t="s">
        <v>47</v>
      </c>
    </row>
    <row r="174" spans="1:5" x14ac:dyDescent="0.35">
      <c r="A174" s="15">
        <v>36891</v>
      </c>
      <c r="B174" s="16" t="s">
        <v>38</v>
      </c>
      <c r="C174" s="16" t="s">
        <v>10</v>
      </c>
      <c r="D174" s="17" t="s">
        <v>36</v>
      </c>
      <c r="E174" s="17" t="s">
        <v>47</v>
      </c>
    </row>
    <row r="175" spans="1:5" x14ac:dyDescent="0.35">
      <c r="A175" s="15">
        <v>36920</v>
      </c>
      <c r="B175" s="16" t="s">
        <v>40</v>
      </c>
      <c r="C175" s="16" t="s">
        <v>6</v>
      </c>
      <c r="D175" s="17" t="s">
        <v>4</v>
      </c>
      <c r="E175" s="17" t="s">
        <v>47</v>
      </c>
    </row>
    <row r="176" spans="1:5" x14ac:dyDescent="0.35">
      <c r="A176" s="15">
        <v>36941</v>
      </c>
      <c r="B176" s="16" t="s">
        <v>38</v>
      </c>
      <c r="C176" s="16" t="s">
        <v>32</v>
      </c>
      <c r="D176" s="17" t="s">
        <v>4</v>
      </c>
      <c r="E176" s="17" t="s">
        <v>47</v>
      </c>
    </row>
    <row r="177" spans="1:5" x14ac:dyDescent="0.35">
      <c r="A177" s="15">
        <v>36942</v>
      </c>
      <c r="B177" s="16" t="s">
        <v>37</v>
      </c>
      <c r="C177" s="16" t="s">
        <v>12</v>
      </c>
      <c r="D177" s="17" t="s">
        <v>36</v>
      </c>
      <c r="E177" s="17" t="s">
        <v>47</v>
      </c>
    </row>
    <row r="178" spans="1:5" x14ac:dyDescent="0.35">
      <c r="A178" s="15">
        <v>36946</v>
      </c>
      <c r="B178" s="16" t="s">
        <v>44</v>
      </c>
      <c r="C178" s="16" t="s">
        <v>10</v>
      </c>
      <c r="D178" s="17" t="s">
        <v>4</v>
      </c>
      <c r="E178" s="17" t="s">
        <v>46</v>
      </c>
    </row>
    <row r="179" spans="1:5" x14ac:dyDescent="0.35">
      <c r="A179" s="15">
        <v>36955</v>
      </c>
      <c r="B179" s="16" t="s">
        <v>37</v>
      </c>
      <c r="C179" s="16" t="s">
        <v>31</v>
      </c>
      <c r="D179" s="17" t="s">
        <v>34</v>
      </c>
      <c r="E179" s="17" t="s">
        <v>46</v>
      </c>
    </row>
    <row r="180" spans="1:5" x14ac:dyDescent="0.35">
      <c r="A180" s="15">
        <v>36966</v>
      </c>
      <c r="B180" s="16" t="s">
        <v>42</v>
      </c>
      <c r="C180" s="16" t="s">
        <v>5</v>
      </c>
      <c r="D180" s="17" t="s">
        <v>35</v>
      </c>
      <c r="E180" s="17" t="s">
        <v>46</v>
      </c>
    </row>
    <row r="181" spans="1:5" x14ac:dyDescent="0.35">
      <c r="A181" s="15">
        <v>36967</v>
      </c>
      <c r="B181" s="16" t="s">
        <v>43</v>
      </c>
      <c r="C181" s="16" t="s">
        <v>32</v>
      </c>
      <c r="D181" s="17" t="s">
        <v>4</v>
      </c>
      <c r="E181" s="17" t="s">
        <v>47</v>
      </c>
    </row>
    <row r="182" spans="1:5" x14ac:dyDescent="0.35">
      <c r="A182" s="15">
        <v>36970</v>
      </c>
      <c r="B182" s="16" t="s">
        <v>42</v>
      </c>
      <c r="C182" s="16" t="s">
        <v>5</v>
      </c>
      <c r="D182" s="17" t="s">
        <v>4</v>
      </c>
      <c r="E182" s="17" t="s">
        <v>47</v>
      </c>
    </row>
    <row r="183" spans="1:5" x14ac:dyDescent="0.35">
      <c r="A183" s="15">
        <v>37018</v>
      </c>
      <c r="B183" s="16" t="s">
        <v>44</v>
      </c>
      <c r="C183" s="16" t="s">
        <v>10</v>
      </c>
      <c r="D183" s="17" t="s">
        <v>36</v>
      </c>
      <c r="E183" s="17" t="s">
        <v>46</v>
      </c>
    </row>
    <row r="184" spans="1:5" x14ac:dyDescent="0.35">
      <c r="A184" s="15">
        <v>37046</v>
      </c>
      <c r="B184" s="16" t="s">
        <v>37</v>
      </c>
      <c r="C184" s="16" t="s">
        <v>12</v>
      </c>
      <c r="D184" s="17" t="s">
        <v>4</v>
      </c>
      <c r="E184" s="17" t="s">
        <v>47</v>
      </c>
    </row>
    <row r="185" spans="1:5" x14ac:dyDescent="0.35">
      <c r="A185" s="15">
        <v>37056</v>
      </c>
      <c r="B185" s="16" t="s">
        <v>44</v>
      </c>
      <c r="C185" s="16" t="s">
        <v>8</v>
      </c>
      <c r="D185" s="17" t="s">
        <v>34</v>
      </c>
      <c r="E185" s="17" t="s">
        <v>47</v>
      </c>
    </row>
    <row r="186" spans="1:5" x14ac:dyDescent="0.35">
      <c r="A186" s="15">
        <v>37067</v>
      </c>
      <c r="B186" s="16" t="s">
        <v>39</v>
      </c>
      <c r="C186" s="16" t="s">
        <v>31</v>
      </c>
      <c r="D186" s="17" t="s">
        <v>34</v>
      </c>
      <c r="E186" s="17" t="s">
        <v>46</v>
      </c>
    </row>
    <row r="187" spans="1:5" x14ac:dyDescent="0.35">
      <c r="A187" s="15">
        <v>37069</v>
      </c>
      <c r="B187" s="16" t="s">
        <v>41</v>
      </c>
      <c r="C187" s="16" t="s">
        <v>6</v>
      </c>
      <c r="D187" s="17" t="s">
        <v>34</v>
      </c>
      <c r="E187" s="17" t="s">
        <v>47</v>
      </c>
    </row>
    <row r="188" spans="1:5" x14ac:dyDescent="0.35">
      <c r="A188" s="15">
        <v>37070</v>
      </c>
      <c r="B188" s="16" t="s">
        <v>39</v>
      </c>
      <c r="C188" s="16" t="s">
        <v>6</v>
      </c>
      <c r="D188" s="17" t="s">
        <v>35</v>
      </c>
      <c r="E188" s="17" t="s">
        <v>46</v>
      </c>
    </row>
    <row r="189" spans="1:5" x14ac:dyDescent="0.35">
      <c r="A189" s="15">
        <v>37071</v>
      </c>
      <c r="B189" s="16" t="s">
        <v>41</v>
      </c>
      <c r="C189" s="16" t="s">
        <v>9</v>
      </c>
      <c r="D189" s="17" t="s">
        <v>4</v>
      </c>
      <c r="E189" s="17" t="s">
        <v>47</v>
      </c>
    </row>
    <row r="190" spans="1:5" x14ac:dyDescent="0.35">
      <c r="A190" s="15">
        <v>37079</v>
      </c>
      <c r="B190" s="16" t="s">
        <v>39</v>
      </c>
      <c r="C190" s="16" t="s">
        <v>9</v>
      </c>
      <c r="D190" s="17" t="s">
        <v>4</v>
      </c>
      <c r="E190" s="17" t="s">
        <v>47</v>
      </c>
    </row>
    <row r="191" spans="1:5" x14ac:dyDescent="0.35">
      <c r="A191" s="15">
        <v>37083</v>
      </c>
      <c r="B191" s="16" t="s">
        <v>40</v>
      </c>
      <c r="C191" s="16" t="s">
        <v>12</v>
      </c>
      <c r="D191" s="17" t="s">
        <v>35</v>
      </c>
      <c r="E191" s="17" t="s">
        <v>47</v>
      </c>
    </row>
    <row r="192" spans="1:5" x14ac:dyDescent="0.35">
      <c r="A192" s="15">
        <v>37086</v>
      </c>
      <c r="B192" s="16" t="s">
        <v>39</v>
      </c>
      <c r="C192" s="16" t="s">
        <v>6</v>
      </c>
      <c r="D192" s="17" t="s">
        <v>36</v>
      </c>
      <c r="E192" s="17" t="s">
        <v>47</v>
      </c>
    </row>
    <row r="193" spans="1:5" x14ac:dyDescent="0.35">
      <c r="A193" s="15">
        <v>37088</v>
      </c>
      <c r="B193" s="16" t="s">
        <v>44</v>
      </c>
      <c r="C193" s="16" t="s">
        <v>10</v>
      </c>
      <c r="D193" s="17" t="s">
        <v>34</v>
      </c>
      <c r="E193" s="17" t="s">
        <v>47</v>
      </c>
    </row>
    <row r="194" spans="1:5" x14ac:dyDescent="0.35">
      <c r="A194" s="15">
        <v>37097</v>
      </c>
      <c r="B194" s="16" t="s">
        <v>44</v>
      </c>
      <c r="C194" s="16" t="s">
        <v>8</v>
      </c>
      <c r="D194" s="17" t="s">
        <v>35</v>
      </c>
      <c r="E194" s="17" t="s">
        <v>47</v>
      </c>
    </row>
    <row r="195" spans="1:5" x14ac:dyDescent="0.35">
      <c r="A195" s="15">
        <v>37108</v>
      </c>
      <c r="B195" s="16" t="s">
        <v>39</v>
      </c>
      <c r="C195" s="16" t="s">
        <v>5</v>
      </c>
      <c r="D195" s="17" t="s">
        <v>4</v>
      </c>
      <c r="E195" s="17" t="s">
        <v>46</v>
      </c>
    </row>
    <row r="196" spans="1:5" x14ac:dyDescent="0.35">
      <c r="A196" s="15">
        <v>37112</v>
      </c>
      <c r="B196" s="16" t="s">
        <v>39</v>
      </c>
      <c r="C196" s="16" t="s">
        <v>33</v>
      </c>
      <c r="D196" s="17" t="s">
        <v>36</v>
      </c>
      <c r="E196" s="17" t="s">
        <v>47</v>
      </c>
    </row>
    <row r="197" spans="1:5" x14ac:dyDescent="0.35">
      <c r="A197" s="15">
        <v>37113</v>
      </c>
      <c r="B197" s="16" t="s">
        <v>40</v>
      </c>
      <c r="C197" s="16" t="s">
        <v>12</v>
      </c>
      <c r="D197" s="17" t="s">
        <v>36</v>
      </c>
      <c r="E197" s="17" t="s">
        <v>46</v>
      </c>
    </row>
    <row r="198" spans="1:5" x14ac:dyDescent="0.35">
      <c r="A198" s="15">
        <v>37118</v>
      </c>
      <c r="B198" s="16" t="s">
        <v>39</v>
      </c>
      <c r="C198" s="16" t="s">
        <v>7</v>
      </c>
      <c r="D198" s="17" t="s">
        <v>34</v>
      </c>
      <c r="E198" s="17" t="s">
        <v>47</v>
      </c>
    </row>
    <row r="199" spans="1:5" x14ac:dyDescent="0.35">
      <c r="A199" s="15">
        <v>37130</v>
      </c>
      <c r="B199" s="16" t="s">
        <v>40</v>
      </c>
      <c r="C199" s="16" t="s">
        <v>8</v>
      </c>
      <c r="D199" s="17" t="s">
        <v>36</v>
      </c>
      <c r="E199" s="17" t="s">
        <v>47</v>
      </c>
    </row>
    <row r="200" spans="1:5" x14ac:dyDescent="0.35">
      <c r="A200" s="15">
        <v>37137</v>
      </c>
      <c r="B200" s="16" t="s">
        <v>41</v>
      </c>
      <c r="C200" s="16" t="s">
        <v>10</v>
      </c>
      <c r="D200" s="17" t="s">
        <v>35</v>
      </c>
      <c r="E200" s="17" t="s">
        <v>47</v>
      </c>
    </row>
    <row r="201" spans="1:5" x14ac:dyDescent="0.35">
      <c r="A201" s="15">
        <v>37141</v>
      </c>
      <c r="B201" s="16" t="s">
        <v>41</v>
      </c>
      <c r="C201" s="16" t="s">
        <v>7</v>
      </c>
      <c r="D201" s="17" t="s">
        <v>4</v>
      </c>
      <c r="E201" s="17" t="s">
        <v>47</v>
      </c>
    </row>
    <row r="202" spans="1:5" x14ac:dyDescent="0.35">
      <c r="A202" s="15">
        <v>37145</v>
      </c>
      <c r="B202" s="16" t="s">
        <v>43</v>
      </c>
      <c r="C202" s="16" t="s">
        <v>8</v>
      </c>
      <c r="D202" s="17" t="s">
        <v>36</v>
      </c>
      <c r="E202" s="17" t="s">
        <v>46</v>
      </c>
    </row>
    <row r="203" spans="1:5" x14ac:dyDescent="0.35">
      <c r="A203" s="15">
        <v>37150</v>
      </c>
      <c r="B203" s="16" t="s">
        <v>41</v>
      </c>
      <c r="C203" s="16" t="s">
        <v>33</v>
      </c>
      <c r="D203" s="17" t="s">
        <v>35</v>
      </c>
      <c r="E203" s="17" t="s">
        <v>47</v>
      </c>
    </row>
    <row r="204" spans="1:5" x14ac:dyDescent="0.35">
      <c r="A204" s="15">
        <v>37182</v>
      </c>
      <c r="B204" s="16" t="s">
        <v>37</v>
      </c>
      <c r="C204" s="16" t="s">
        <v>32</v>
      </c>
      <c r="D204" s="17" t="s">
        <v>36</v>
      </c>
      <c r="E204" s="17" t="s">
        <v>46</v>
      </c>
    </row>
    <row r="205" spans="1:5" x14ac:dyDescent="0.35">
      <c r="A205" s="15">
        <v>37188</v>
      </c>
      <c r="B205" s="16" t="s">
        <v>40</v>
      </c>
      <c r="C205" s="16" t="s">
        <v>8</v>
      </c>
      <c r="D205" s="17" t="s">
        <v>36</v>
      </c>
      <c r="E205" s="17" t="s">
        <v>46</v>
      </c>
    </row>
    <row r="206" spans="1:5" x14ac:dyDescent="0.35">
      <c r="A206" s="15">
        <v>37190</v>
      </c>
      <c r="B206" s="16" t="s">
        <v>42</v>
      </c>
      <c r="C206" s="16" t="s">
        <v>6</v>
      </c>
      <c r="D206" s="17" t="s">
        <v>34</v>
      </c>
      <c r="E206" s="17" t="s">
        <v>46</v>
      </c>
    </row>
    <row r="207" spans="1:5" x14ac:dyDescent="0.35">
      <c r="A207" s="15">
        <v>37216</v>
      </c>
      <c r="B207" s="16" t="s">
        <v>41</v>
      </c>
      <c r="C207" s="16" t="s">
        <v>6</v>
      </c>
      <c r="D207" s="17" t="s">
        <v>36</v>
      </c>
      <c r="E207" s="17" t="s">
        <v>46</v>
      </c>
    </row>
    <row r="208" spans="1:5" x14ac:dyDescent="0.35">
      <c r="A208" s="15">
        <v>37217</v>
      </c>
      <c r="B208" s="16" t="s">
        <v>40</v>
      </c>
      <c r="C208" s="16" t="s">
        <v>9</v>
      </c>
      <c r="D208" s="17" t="s">
        <v>34</v>
      </c>
      <c r="E208" s="17" t="s">
        <v>46</v>
      </c>
    </row>
    <row r="209" spans="1:5" x14ac:dyDescent="0.35">
      <c r="A209" s="15">
        <v>37224</v>
      </c>
      <c r="B209" s="16" t="s">
        <v>40</v>
      </c>
      <c r="C209" s="16" t="s">
        <v>6</v>
      </c>
      <c r="D209" s="17" t="s">
        <v>35</v>
      </c>
      <c r="E209" s="17" t="s">
        <v>47</v>
      </c>
    </row>
    <row r="210" spans="1:5" x14ac:dyDescent="0.35">
      <c r="A210" s="15">
        <v>37240</v>
      </c>
      <c r="B210" s="16" t="s">
        <v>44</v>
      </c>
      <c r="C210" s="16" t="s">
        <v>32</v>
      </c>
      <c r="D210" s="17" t="s">
        <v>35</v>
      </c>
      <c r="E210" s="17" t="s">
        <v>46</v>
      </c>
    </row>
  </sheetData>
  <sheetProtection sheet="1" objects="1" scenarios="1"/>
  <sortState xmlns:xlrd2="http://schemas.microsoft.com/office/spreadsheetml/2017/richdata2" ref="A3:E210">
    <sortCondition ref="A3"/>
  </sortState>
  <phoneticPr fontId="0" type="noConversion"/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_Input">
                <anchor moveWithCells="1" sizeWithCells="1">
                  <from>
                    <xdr:col>5</xdr:col>
                    <xdr:colOff>95250</xdr:colOff>
                    <xdr:row>0</xdr:row>
                    <xdr:rowOff>95250</xdr:rowOff>
                  </from>
                  <to>
                    <xdr:col>6</xdr:col>
                    <xdr:colOff>685800</xdr:colOff>
                    <xdr:row>2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3</vt:i4>
      </vt:variant>
    </vt:vector>
  </HeadingPairs>
  <TitlesOfParts>
    <vt:vector size="6" baseType="lpstr">
      <vt:lpstr>Erfassung</vt:lpstr>
      <vt:lpstr>Art-Bereich-Tage</vt:lpstr>
      <vt:lpstr>Liste</vt:lpstr>
      <vt:lpstr>Unfallart</vt:lpstr>
      <vt:lpstr>Ausfalltage</vt:lpstr>
      <vt:lpstr>Betriebsbereiche</vt:lpstr>
    </vt:vector>
  </TitlesOfParts>
  <Company>SW Media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Henryk Wyrwich</dc:creator>
  <cp:lastModifiedBy>Andreas Staerkert</cp:lastModifiedBy>
  <dcterms:created xsi:type="dcterms:W3CDTF">1999-09-23T13:01:52Z</dcterms:created>
  <dcterms:modified xsi:type="dcterms:W3CDTF">2024-03-08T20:50:23Z</dcterms:modified>
</cp:coreProperties>
</file>