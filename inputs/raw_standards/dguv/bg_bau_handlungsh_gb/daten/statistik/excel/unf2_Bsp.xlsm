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r\1\y\OK\"/>
    </mc:Choice>
  </mc:AlternateContent>
  <xr:revisionPtr revIDLastSave="0" documentId="13_ncr:1_{50A7A2F4-BAD2-4161-B1F2-9A532EF35E7C}" xr6:coauthVersionLast="47" xr6:coauthVersionMax="47" xr10:uidLastSave="{00000000-0000-0000-0000-000000000000}"/>
  <bookViews>
    <workbookView xWindow="1927" yWindow="645" windowWidth="26356" windowHeight="13875" activeTab="3" xr2:uid="{00000000-000D-0000-FFFF-FFFF00000000}"/>
  </bookViews>
  <sheets>
    <sheet name="Erfassung" sheetId="1" r:id="rId1"/>
    <sheet name="Art-Bereich-Tage" sheetId="2" state="hidden" r:id="rId2"/>
    <sheet name="Liste" sheetId="3" state="hidden" r:id="rId3"/>
    <sheet name="Ausfalltage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F3" i="2"/>
  <c r="F4" i="2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L16" i="3"/>
  <c r="L27" i="3" s="1"/>
  <c r="O27" i="3" s="1"/>
  <c r="M16" i="3"/>
  <c r="N16" i="3"/>
  <c r="L17" i="3"/>
  <c r="M17" i="3"/>
  <c r="N17" i="3"/>
  <c r="L18" i="3"/>
  <c r="M18" i="3"/>
  <c r="N18" i="3"/>
  <c r="L19" i="3"/>
  <c r="M19" i="3"/>
  <c r="N19" i="3"/>
  <c r="L20" i="3"/>
  <c r="M20" i="3"/>
  <c r="N20" i="3"/>
  <c r="L21" i="3"/>
  <c r="M21" i="3"/>
  <c r="N21" i="3"/>
  <c r="L22" i="3"/>
  <c r="M22" i="3"/>
  <c r="M27" i="3" s="1"/>
  <c r="N22" i="3"/>
  <c r="L23" i="3"/>
  <c r="M23" i="3"/>
  <c r="N23" i="3"/>
  <c r="L24" i="3"/>
  <c r="M24" i="3"/>
  <c r="N24" i="3"/>
  <c r="N27" i="3" s="1"/>
  <c r="L25" i="3"/>
  <c r="M25" i="3"/>
  <c r="N25" i="3"/>
  <c r="L26" i="3"/>
  <c r="M26" i="3"/>
  <c r="N26" i="3"/>
</calcChain>
</file>

<file path=xl/sharedStrings.xml><?xml version="1.0" encoding="utf-8"?>
<sst xmlns="http://schemas.openxmlformats.org/spreadsheetml/2006/main" count="481" uniqueCount="53">
  <si>
    <t>Datum</t>
  </si>
  <si>
    <t>Ausfalltage</t>
  </si>
  <si>
    <t>Beitriebsbereich</t>
  </si>
  <si>
    <t>Unfallart</t>
  </si>
  <si>
    <t>Verwaltung</t>
  </si>
  <si>
    <t>über 6 Wochen</t>
  </si>
  <si>
    <t>1 Tag</t>
  </si>
  <si>
    <t>2 Tage</t>
  </si>
  <si>
    <t>3 Tage</t>
  </si>
  <si>
    <t>4 Tage</t>
  </si>
  <si>
    <t>5 Tage</t>
  </si>
  <si>
    <t>6 Tage</t>
  </si>
  <si>
    <t>7 Tage</t>
  </si>
  <si>
    <t>Datum:</t>
  </si>
  <si>
    <t>Ausfalltage:</t>
  </si>
  <si>
    <t>Tag</t>
  </si>
  <si>
    <t>Monat</t>
  </si>
  <si>
    <t>Jahr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</si>
  <si>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</si>
  <si>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</si>
  <si>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</si>
  <si>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</si>
  <si>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</si>
  <si>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</si>
  <si>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</si>
  <si>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</si>
  <si>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</si>
  <si>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</si>
  <si>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</si>
  <si>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</si>
  <si>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8 bis 14 Tage</t>
  </si>
  <si>
    <t>15 bis 30 Tage</t>
  </si>
  <si>
    <t>31-42 Tage</t>
  </si>
  <si>
    <t>Bauhof</t>
  </si>
  <si>
    <t>Fuhrpark</t>
  </si>
  <si>
    <t>Baustelle</t>
  </si>
  <si>
    <t>Absturz</t>
  </si>
  <si>
    <t>Brand und Explosion</t>
  </si>
  <si>
    <t>Gefahrstoffe</t>
  </si>
  <si>
    <t>Elektrische Anlagen</t>
  </si>
  <si>
    <t>Erfasst und getroffen werden</t>
  </si>
  <si>
    <t>Spitze, scharfkantige Gegenstände</t>
  </si>
  <si>
    <t>Ungeschützt bewegte Maschinenteile</t>
  </si>
  <si>
    <t>Unkontrolliert bewegte Teile</t>
  </si>
  <si>
    <t>Stolpern / Rutschen / Stürzen</t>
  </si>
  <si>
    <t>nein</t>
  </si>
  <si>
    <t>ja</t>
  </si>
  <si>
    <t>toedlich</t>
  </si>
  <si>
    <t>tödlich</t>
  </si>
  <si>
    <t>Erfassung der Unfalldaten bei Wegeunfällen</t>
  </si>
  <si>
    <r>
      <t>*</t>
    </r>
    <r>
      <rPr>
        <sz val="8"/>
        <rFont val="Arial"/>
        <family val="2"/>
      </rPr>
      <t xml:space="preserve"> für einen tödlichen Unfall werden </t>
    </r>
  </si>
  <si>
    <t xml:space="preserve">   30 Ausfalltage angenommen</t>
  </si>
  <si>
    <r>
      <t>tödlich</t>
    </r>
    <r>
      <rPr>
        <sz val="11"/>
        <color indexed="18"/>
        <rFont val="Arial"/>
        <family val="2"/>
      </rPr>
      <t>*</t>
    </r>
    <r>
      <rPr>
        <b/>
        <sz val="11"/>
        <color indexed="18"/>
        <rFont val="Arial"/>
        <family val="2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</si>
</sst>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8"/>
      <color indexed="18"/>
      <name val="Arial"/>
      <family val="2"/>
    </font>
    <font>
      <b/>
      <sz val="14"/>
      <color indexed="1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4" fontId="0" fillId="0" borderId="0" xfId="0" applyNumberFormat="1"/>
    <xf numFmtId="0" fontId="0" fillId="0" borderId="0" xfId="0" quotePrefix="1"/>
    <xf numFmtId="0" fontId="1" fillId="0" borderId="1" xfId="0" applyFont="1" applyBorder="1"/>
    <xf numFmtId="14" fontId="0" fillId="0" borderId="2" xfId="0" applyNumberFormat="1" applyBorder="1"/>
    <xf numFmtId="0" fontId="3" fillId="0" borderId="3" xfId="0" applyFont="1" applyBorder="1"/>
    <xf numFmtId="0" fontId="0" fillId="0" borderId="4" xfId="0" applyBorder="1"/>
    <xf numFmtId="0" fontId="0" fillId="3" borderId="0" xfId="0" applyFill="1"/>
    <xf numFmtId="14" fontId="0" fillId="3" borderId="0" xfId="0" applyNumberFormat="1" applyFill="1"/>
    <xf numFmtId="2" fontId="2" fillId="0" borderId="0" xfId="0" applyNumberFormat="1" applyFont="1"/>
    <xf numFmtId="0" fontId="1" fillId="0" borderId="0" xfId="0" applyFont="1"/>
    <xf numFmtId="14" fontId="0" fillId="0" borderId="2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>
      <alignment horizontal="left"/>
    </xf>
    <xf numFmtId="0" fontId="3" fillId="0" borderId="6" xfId="0" applyFont="1" applyBorder="1"/>
    <xf numFmtId="0" fontId="0" fillId="0" borderId="5" xfId="0" applyBorder="1"/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Unfallzahlen - Ausfalltage</a:t>
            </a:r>
          </a:p>
        </c:rich>
      </c:tx>
      <c:layout>
        <c:manualLayout>
          <c:xMode val="edge"/>
          <c:yMode val="edge"/>
          <c:x val="0.33733055265901979"/>
          <c:y val="2.0253164556962026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1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4.0667361835245046E-2"/>
          <c:y val="0.12320675105485232"/>
          <c:w val="0.94890510948905105"/>
          <c:h val="0.7628691983122363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Liste!$L$15</c:f>
              <c:strCache>
                <c:ptCount val="1"/>
                <c:pt idx="0">
                  <c:v>2001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Liste!$K$16:$K$26</c:f>
              <c:strCache>
                <c:ptCount val="11"/>
                <c:pt idx="0">
                  <c:v>1 Tag</c:v>
                </c:pt>
                <c:pt idx="1">
                  <c:v>2 Tage</c:v>
                </c:pt>
                <c:pt idx="2">
                  <c:v>3 Tage</c:v>
                </c:pt>
                <c:pt idx="3">
                  <c:v>4 Tage</c:v>
                </c:pt>
                <c:pt idx="4">
                  <c:v>5 Tage</c:v>
                </c:pt>
                <c:pt idx="5">
                  <c:v>6 Tage</c:v>
                </c:pt>
                <c:pt idx="6">
                  <c:v>7 Tage</c:v>
                </c:pt>
                <c:pt idx="7">
                  <c:v>8 bis 14 Tage</c:v>
                </c:pt>
                <c:pt idx="8">
                  <c:v>15 bis 30 Tage</c:v>
                </c:pt>
                <c:pt idx="9">
                  <c:v>31-42 Tage</c:v>
                </c:pt>
                <c:pt idx="10">
                  <c:v>über 6 Wochen</c:v>
                </c:pt>
              </c:strCache>
            </c:strRef>
          </c:cat>
          <c:val>
            <c:numRef>
              <c:f>Liste!$L$16:$L$26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ECE-BC8F-8503E6D93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932175"/>
        <c:axId val="1"/>
        <c:axId val="0"/>
      </c:bar3DChart>
      <c:catAx>
        <c:axId val="90932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093217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44473409801876956"/>
          <c:y val="0.9586497890295359"/>
          <c:w val="5.4744525547445258E-2"/>
          <c:h val="3.62869198312236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Diagramm2"/>
  <sheetViews>
    <sheetView tabSelected="1" zoomScale="117" workbookViewId="0" zoomToFit="1"/>
  </sheetViews>
  <pageMargins left="0.78740157499999996" right="0.78740157499999996" top="0.984251969" bottom="0.984251969" header="0.4921259845" footer="0.4921259845"/>
  <headerFooter alignWithMargins="0"/>
  <drawing r:id="rId1"/>
  <legacyDrawing r:id="rId2"/>
</chartsheet>
</file>

<file path=xl/ctrlProps/ctrlProp1.xml><?xml version="1.0" encoding="utf-8"?>
<formControlPr xmlns="http://schemas.microsoft.com/office/spreadsheetml/2009/9/main" objectType="Drop" dropLines="7" dropStyle="combo" dx="39" fmlaLink="'Art-Bereich-Tage'!$H$3" fmlaRange="'Art-Bereich-Tage'!$B$2:$B$12" noThreeD="1" sel="0" val="4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0" dropStyle="combo" dx="39" fmlaRange="'Art-Bereich-Tage'!$D$2:$D$32" noThreeD="1" sel="8" val="15"/>
</file>

<file path=xl/ctrlProps/ctrlProp4.xml><?xml version="1.0" encoding="utf-8"?>
<formControlPr xmlns="http://schemas.microsoft.com/office/spreadsheetml/2009/9/main" objectType="Drop" dropStyle="combo" dx="39" fmlaRange="'Art-Bereich-Tage'!$E$2:$E$13" noThreeD="1" sel="3" val="0"/>
</file>

<file path=xl/ctrlProps/ctrlProp5.xml><?xml version="1.0" encoding="utf-8"?>
<formControlPr xmlns="http://schemas.microsoft.com/office/spreadsheetml/2009/9/main" objectType="Drop" dropLines="10" dropStyle="combo" dx="39" fmlaRange="'Art-Bereich-Tage'!$F$2:$F$42" noThreeD="1" sel="33" val="3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" dropStyle="combo" dx="39" fmlaLink="'Art-Bereich-Tage'!$H$5" fmlaRange="'Art-Bereich-Tage'!$G$2:$G$3" noThreeD="1" sel="1" val="0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19050</xdr:colOff>
          <xdr:row>7</xdr:row>
          <xdr:rowOff>9525</xdr:rowOff>
        </xdr:to>
        <xdr:sp macro="" textlink="">
          <xdr:nvSpPr>
            <xdr:cNvPr id="1027" name="Ausfallta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19050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Unfalldaten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490538</xdr:colOff>
          <xdr:row>3</xdr:row>
          <xdr:rowOff>9525</xdr:rowOff>
        </xdr:to>
        <xdr:sp macro="" textlink="">
          <xdr:nvSpPr>
            <xdr:cNvPr id="1031" name="Tag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490538</xdr:colOff>
          <xdr:row>2</xdr:row>
          <xdr:rowOff>0</xdr:rowOff>
        </xdr:from>
        <xdr:to>
          <xdr:col>2</xdr:col>
          <xdr:colOff>1528763</xdr:colOff>
          <xdr:row>3</xdr:row>
          <xdr:rowOff>9525</xdr:rowOff>
        </xdr:to>
        <xdr:sp macro="" textlink="">
          <xdr:nvSpPr>
            <xdr:cNvPr id="1034" name="Mona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1528763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sp macro="" textlink="">
          <xdr:nvSpPr>
            <xdr:cNvPr id="1035" name="Jah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133350</xdr:rowOff>
        </xdr:from>
        <xdr:to>
          <xdr:col>3</xdr:col>
          <xdr:colOff>19050</xdr:colOff>
          <xdr:row>13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gespeicherte Unfalldaten 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161925</xdr:rowOff>
        </xdr:from>
        <xdr:to>
          <xdr:col>3</xdr:col>
          <xdr:colOff>19050</xdr:colOff>
          <xdr:row>11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Ausfalltage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1043" name="toedlich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95250</xdr:rowOff>
        </xdr:from>
        <xdr:to>
          <xdr:col>4</xdr:col>
          <xdr:colOff>685800</xdr:colOff>
          <xdr:row>2</xdr:row>
          <xdr:rowOff>109538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 Eingabe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981" cy="6004006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0.221</cdr:x>
      <cdr:y>0.95775</cdr:y>
    </cdr:from>
    <cdr:to>
      <cdr:x>0.24075</cdr:x>
      <cdr:y>1</cdr:y>
    </cdr:to>
    <cdr:sp macro="" textlink="Liste!$O$27">
      <cdr:nvSpPr>
        <cdr:cNvPr id="6146" name="Text Box 2">
          <a:extLst xmlns:a="http://schemas.openxmlformats.org/drawingml/2006/main">
            <a:ext uri="{FF2B5EF4-FFF2-40B4-BE49-F238E27FC236}">
              <a16:creationId xmlns:a16="http://schemas.microsoft.com/office/drawing/2014/main" id="{5749F91A-F1A0-B586-870C-DE912CD6D860}"/>
            </a:ext>
          </a:extLst>
        </cdr:cNvPr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018719" y="5405122"/>
          <a:ext cx="180406" cy="2384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45720" tIns="0" rIns="0" bIns="41148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BD9C8F00-F2FF-407C-A215-FB12BAD22B47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2</a:t>
          </a:fld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0.0254</cdr:x>
      <cdr:y>0.95775</cdr:y>
    </cdr:from>
    <cdr:to>
      <cdr:x>0.22565</cdr:x>
      <cdr:y>1</cdr:y>
    </cdr:to>
    <cdr:sp macro="" textlink="">
      <cdr:nvSpPr>
        <cdr:cNvPr id="6147" name="Text Box 3">
          <a:extLst xmlns:a="http://schemas.openxmlformats.org/drawingml/2006/main">
            <a:ext uri="{FF2B5EF4-FFF2-40B4-BE49-F238E27FC236}">
              <a16:creationId xmlns:a16="http://schemas.microsoft.com/office/drawing/2014/main" id="{58E47162-5070-E706-F5BE-4EF9FA625B4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046" y="5750337"/>
          <a:ext cx="1860920" cy="2536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45720" tIns="0" rIns="0" bIns="41148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Unfälle:</a:t>
          </a:r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3"/>
  <sheetViews>
    <sheetView showGridLines="0" showRowColHeaders="0" workbookViewId="0">
      <selection activeCell="C15" sqref="C15"/>
    </sheetView>
  </sheetViews>
  <sheetFormatPr baseColWidth="10" defaultRowHeight="12.75" x14ac:dyDescent="0.35"/>
  <cols>
    <col min="1" max="1" width="21" customWidth="1"/>
    <col min="2" max="2" width="2.73046875" customWidth="1"/>
    <col min="3" max="3" width="34" customWidth="1"/>
    <col min="5" max="5" width="2.73046875" customWidth="1"/>
    <col min="6" max="6" width="20" customWidth="1"/>
  </cols>
  <sheetData>
    <row r="1" spans="1:4" ht="17.649999999999999" x14ac:dyDescent="0.5">
      <c r="A1" s="28" t="s">
        <v>49</v>
      </c>
      <c r="D1" s="8"/>
    </row>
    <row r="2" spans="1:4" ht="13.5" x14ac:dyDescent="0.35">
      <c r="A2" s="25"/>
    </row>
    <row r="3" spans="1:4" ht="13.9" x14ac:dyDescent="0.4">
      <c r="A3" s="26" t="s">
        <v>13</v>
      </c>
      <c r="C3" s="7">
        <v>37607</v>
      </c>
    </row>
    <row r="4" spans="1:4" ht="13.9" x14ac:dyDescent="0.4">
      <c r="A4" s="26"/>
    </row>
    <row r="5" spans="1:4" ht="13.9" x14ac:dyDescent="0.4">
      <c r="A5" s="26" t="s">
        <v>52</v>
      </c>
      <c r="D5" s="4"/>
    </row>
    <row r="6" spans="1:4" s="3" customFormat="1" ht="10.15" x14ac:dyDescent="0.3">
      <c r="A6" s="27"/>
    </row>
    <row r="7" spans="1:4" s="1" customFormat="1" ht="13.9" x14ac:dyDescent="0.4">
      <c r="A7" s="26" t="s">
        <v>14</v>
      </c>
      <c r="C7" s="1">
        <v>0</v>
      </c>
    </row>
    <row r="8" spans="1:4" s="3" customFormat="1" ht="10.15" x14ac:dyDescent="0.3">
      <c r="A8" s="5"/>
    </row>
    <row r="9" spans="1:4" ht="13.9" x14ac:dyDescent="0.4">
      <c r="A9" s="4"/>
    </row>
    <row r="10" spans="1:4" ht="15" customHeight="1" x14ac:dyDescent="0.35">
      <c r="A10" s="2"/>
    </row>
    <row r="11" spans="1:4" ht="15" customHeight="1" x14ac:dyDescent="0.35"/>
    <row r="12" spans="1:4" ht="15" customHeight="1" x14ac:dyDescent="0.35"/>
    <row r="13" spans="1:4" ht="15" customHeight="1" x14ac:dyDescent="0.35"/>
    <row r="14" spans="1:4" ht="15" customHeight="1" x14ac:dyDescent="0.35"/>
    <row r="15" spans="1:4" ht="15" customHeight="1" x14ac:dyDescent="0.35">
      <c r="C15" s="1"/>
    </row>
    <row r="16" spans="1:4" ht="15" customHeight="1" x14ac:dyDescent="0.35"/>
    <row r="17" spans="3:3" ht="15" customHeight="1" x14ac:dyDescent="0.35"/>
    <row r="18" spans="3:3" ht="15" customHeight="1" x14ac:dyDescent="0.35">
      <c r="C18" s="1" t="s">
        <v>50</v>
      </c>
    </row>
    <row r="19" spans="3:3" ht="15" customHeight="1" x14ac:dyDescent="0.35">
      <c r="C19" s="3" t="s">
        <v>51</v>
      </c>
    </row>
    <row r="20" spans="3:3" ht="15" customHeight="1" x14ac:dyDescent="0.35"/>
    <row r="21" spans="3:3" ht="15" customHeight="1" x14ac:dyDescent="0.35"/>
    <row r="22" spans="3:3" ht="15" customHeight="1" x14ac:dyDescent="0.35"/>
    <row r="23" spans="3:3" ht="15" customHeight="1" x14ac:dyDescent="0.35"/>
  </sheetData>
  <sheetProtection sheet="1" objects="1" scenarios="1" selectLockedCells="1" selectUnlockedCells="1"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usfalltage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Data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19050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Tag">
              <controlPr defaultSize="0" autoLine="0" autoPict="0" macro="[0]!Date_Change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490538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Monat">
              <controlPr defaultSize="0" autoLine="0" autoPict="0" macro="[0]!Date_Change">
                <anchor moveWithCells="1">
                  <from>
                    <xdr:col>2</xdr:col>
                    <xdr:colOff>490538</xdr:colOff>
                    <xdr:row>2</xdr:row>
                    <xdr:rowOff>0</xdr:rowOff>
                  </from>
                  <to>
                    <xdr:col>2</xdr:col>
                    <xdr:colOff>1528763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Jahr">
              <controlPr defaultSize="0" autoLine="0" autoPict="0" macro="[0]!Date_Change">
                <anchor moveWithCells="1">
                  <from>
                    <xdr:col>2</xdr:col>
                    <xdr:colOff>1528763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ow_List">
                <anchor moveWithCells="1">
                  <from>
                    <xdr:col>2</xdr:col>
                    <xdr:colOff>0</xdr:colOff>
                    <xdr:row>11</xdr:row>
                    <xdr:rowOff>133350</xdr:rowOff>
                  </from>
                  <to>
                    <xdr:col>3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Button 16">
              <controlPr defaultSize="0" print="0" autoFill="0" autoPict="0" macro="[0]!Dia_Tage">
                <anchor moveWithCells="1">
                  <from>
                    <xdr:col>2</xdr:col>
                    <xdr:colOff>0</xdr:colOff>
                    <xdr:row>9</xdr:row>
                    <xdr:rowOff>161925</xdr:rowOff>
                  </from>
                  <to>
                    <xdr:col>3</xdr:col>
                    <xdr:colOff>19050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toedlich">
              <controlPr defaultSize="0" autoLine="0" autoPict="0" macro="[0]!Deadly_Change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42"/>
  <sheetViews>
    <sheetView topLeftCell="A11" workbookViewId="0">
      <selection activeCell="F42" sqref="F33:F42"/>
    </sheetView>
  </sheetViews>
  <sheetFormatPr baseColWidth="10" defaultRowHeight="13.5" x14ac:dyDescent="0.35"/>
  <cols>
    <col min="1" max="1" width="37.265625" style="1" customWidth="1"/>
    <col min="2" max="2" width="15.73046875" style="1" customWidth="1"/>
    <col min="3" max="3" width="21.1328125" style="1" customWidth="1"/>
    <col min="4" max="4" width="5.59765625" customWidth="1"/>
    <col min="5" max="5" width="10.59765625" customWidth="1"/>
    <col min="6" max="6" width="5.73046875" customWidth="1"/>
  </cols>
  <sheetData>
    <row r="1" spans="1:8" ht="13.9" x14ac:dyDescent="0.4">
      <c r="A1" s="6" t="s">
        <v>3</v>
      </c>
      <c r="B1" s="6" t="s">
        <v>1</v>
      </c>
      <c r="C1" s="6" t="s">
        <v>2</v>
      </c>
      <c r="D1" s="6" t="s">
        <v>15</v>
      </c>
      <c r="E1" s="6" t="s">
        <v>16</v>
      </c>
      <c r="F1" s="6" t="s">
        <v>17</v>
      </c>
      <c r="G1" s="22" t="s">
        <v>47</v>
      </c>
      <c r="H1" s="14">
        <v>45359</v>
      </c>
    </row>
    <row r="2" spans="1:8" x14ac:dyDescent="0.35">
      <c r="A2" s="1" t="s">
        <v>36</v>
      </c>
      <c r="B2" s="1" t="s">
        <v>6</v>
      </c>
      <c r="C2" s="1" t="s">
        <v>4</v>
      </c>
      <c r="D2">
        <v>1</v>
      </c>
      <c r="E2" t="s">
        <v>18</v>
      </c>
      <c r="F2">
        <v>1980</v>
      </c>
      <c r="G2" t="s">
        <v>45</v>
      </c>
      <c r="H2" s="13">
        <v>0</v>
      </c>
    </row>
    <row r="3" spans="1:8" x14ac:dyDescent="0.35">
      <c r="A3" s="1" t="s">
        <v>37</v>
      </c>
      <c r="B3" s="1" t="s">
        <v>7</v>
      </c>
      <c r="C3" s="1" t="s">
        <v>33</v>
      </c>
      <c r="D3">
        <f>D2+1</f>
        <v>2</v>
      </c>
      <c r="E3" t="s">
        <v>19</v>
      </c>
      <c r="F3">
        <f>F2+1</f>
        <v>1981</v>
      </c>
      <c r="G3" t="s">
        <v>46</v>
      </c>
      <c r="H3" s="13">
        <v>0</v>
      </c>
    </row>
    <row r="4" spans="1:8" x14ac:dyDescent="0.35">
      <c r="A4" s="1" t="s">
        <v>38</v>
      </c>
      <c r="B4" s="1" t="s">
        <v>8</v>
      </c>
      <c r="C4" s="1" t="s">
        <v>34</v>
      </c>
      <c r="D4">
        <f t="shared" ref="D4:D32" si="0">D3+1</f>
        <v>3</v>
      </c>
      <c r="E4" t="s">
        <v>20</v>
      </c>
      <c r="F4">
        <f t="shared" ref="F4:F31" si="1">F3+1</f>
        <v>1982</v>
      </c>
      <c r="H4" s="13">
        <v>0</v>
      </c>
    </row>
    <row r="5" spans="1:8" x14ac:dyDescent="0.35">
      <c r="A5" s="1" t="s">
        <v>39</v>
      </c>
      <c r="B5" s="1" t="s">
        <v>9</v>
      </c>
      <c r="C5" s="1" t="s">
        <v>35</v>
      </c>
      <c r="D5">
        <f t="shared" si="0"/>
        <v>4</v>
      </c>
      <c r="E5" t="s">
        <v>21</v>
      </c>
      <c r="F5">
        <f t="shared" si="1"/>
        <v>1983</v>
      </c>
      <c r="H5" s="13">
        <v>1</v>
      </c>
    </row>
    <row r="6" spans="1:8" x14ac:dyDescent="0.35">
      <c r="A6" s="1" t="s">
        <v>40</v>
      </c>
      <c r="B6" s="1" t="s">
        <v>10</v>
      </c>
      <c r="D6">
        <f t="shared" si="0"/>
        <v>5</v>
      </c>
      <c r="E6" t="s">
        <v>22</v>
      </c>
      <c r="F6">
        <f t="shared" si="1"/>
        <v>1984</v>
      </c>
    </row>
    <row r="7" spans="1:8" x14ac:dyDescent="0.35">
      <c r="A7" s="1" t="s">
        <v>41</v>
      </c>
      <c r="B7" s="1" t="s">
        <v>11</v>
      </c>
      <c r="D7">
        <f t="shared" si="0"/>
        <v>6</v>
      </c>
      <c r="E7" t="s">
        <v>23</v>
      </c>
      <c r="F7">
        <f t="shared" si="1"/>
        <v>1985</v>
      </c>
    </row>
    <row r="8" spans="1:8" x14ac:dyDescent="0.35">
      <c r="A8" s="1" t="s">
        <v>44</v>
      </c>
      <c r="B8" s="1" t="s">
        <v>12</v>
      </c>
      <c r="D8">
        <f t="shared" si="0"/>
        <v>7</v>
      </c>
      <c r="E8" t="s">
        <v>24</v>
      </c>
      <c r="F8">
        <f t="shared" si="1"/>
        <v>1986</v>
      </c>
    </row>
    <row r="9" spans="1:8" x14ac:dyDescent="0.35">
      <c r="A9" s="1" t="s">
        <v>42</v>
      </c>
      <c r="B9" s="1" t="s">
        <v>30</v>
      </c>
      <c r="D9">
        <f t="shared" si="0"/>
        <v>8</v>
      </c>
      <c r="E9" t="s">
        <v>25</v>
      </c>
      <c r="F9">
        <f t="shared" si="1"/>
        <v>1987</v>
      </c>
    </row>
    <row r="10" spans="1:8" x14ac:dyDescent="0.35">
      <c r="A10" s="1" t="s">
        <v>43</v>
      </c>
      <c r="B10" s="1" t="s">
        <v>31</v>
      </c>
      <c r="D10">
        <f t="shared" si="0"/>
        <v>9</v>
      </c>
      <c r="E10" t="s">
        <v>26</v>
      </c>
      <c r="F10">
        <f t="shared" si="1"/>
        <v>1988</v>
      </c>
    </row>
    <row r="11" spans="1:8" x14ac:dyDescent="0.35">
      <c r="B11" s="1" t="s">
        <v>32</v>
      </c>
      <c r="D11">
        <f t="shared" si="0"/>
        <v>10</v>
      </c>
      <c r="E11" t="s">
        <v>27</v>
      </c>
      <c r="F11">
        <f t="shared" si="1"/>
        <v>1989</v>
      </c>
    </row>
    <row r="12" spans="1:8" x14ac:dyDescent="0.35">
      <c r="B12" s="1" t="s">
        <v>5</v>
      </c>
      <c r="D12">
        <f t="shared" si="0"/>
        <v>11</v>
      </c>
      <c r="E12" t="s">
        <v>28</v>
      </c>
      <c r="F12">
        <f t="shared" si="1"/>
        <v>1990</v>
      </c>
    </row>
    <row r="13" spans="1:8" x14ac:dyDescent="0.35">
      <c r="D13">
        <f t="shared" si="0"/>
        <v>12</v>
      </c>
      <c r="E13" t="s">
        <v>29</v>
      </c>
      <c r="F13">
        <f t="shared" si="1"/>
        <v>1991</v>
      </c>
    </row>
    <row r="14" spans="1:8" x14ac:dyDescent="0.35">
      <c r="D14">
        <f t="shared" si="0"/>
        <v>13</v>
      </c>
      <c r="F14">
        <f t="shared" si="1"/>
        <v>1992</v>
      </c>
    </row>
    <row r="15" spans="1:8" x14ac:dyDescent="0.35">
      <c r="D15">
        <f t="shared" si="0"/>
        <v>14</v>
      </c>
      <c r="F15">
        <f t="shared" si="1"/>
        <v>1993</v>
      </c>
    </row>
    <row r="16" spans="1:8" x14ac:dyDescent="0.35">
      <c r="D16">
        <f t="shared" si="0"/>
        <v>15</v>
      </c>
      <c r="F16">
        <f t="shared" si="1"/>
        <v>1994</v>
      </c>
    </row>
    <row r="17" spans="1:6" x14ac:dyDescent="0.35">
      <c r="D17">
        <f t="shared" si="0"/>
        <v>16</v>
      </c>
      <c r="F17">
        <f t="shared" si="1"/>
        <v>1995</v>
      </c>
    </row>
    <row r="18" spans="1:6" x14ac:dyDescent="0.35">
      <c r="D18">
        <f t="shared" si="0"/>
        <v>17</v>
      </c>
      <c r="F18">
        <f t="shared" si="1"/>
        <v>1996</v>
      </c>
    </row>
    <row r="19" spans="1:6" x14ac:dyDescent="0.35">
      <c r="D19">
        <f t="shared" si="0"/>
        <v>18</v>
      </c>
      <c r="F19">
        <f t="shared" si="1"/>
        <v>1997</v>
      </c>
    </row>
    <row r="20" spans="1:6" x14ac:dyDescent="0.35">
      <c r="D20">
        <f t="shared" si="0"/>
        <v>19</v>
      </c>
      <c r="F20">
        <f t="shared" si="1"/>
        <v>1998</v>
      </c>
    </row>
    <row r="21" spans="1:6" x14ac:dyDescent="0.35">
      <c r="D21">
        <f t="shared" si="0"/>
        <v>20</v>
      </c>
      <c r="F21">
        <f t="shared" si="1"/>
        <v>1999</v>
      </c>
    </row>
    <row r="22" spans="1:6" x14ac:dyDescent="0.35">
      <c r="D22">
        <f t="shared" si="0"/>
        <v>21</v>
      </c>
      <c r="F22">
        <f t="shared" si="1"/>
        <v>2000</v>
      </c>
    </row>
    <row r="23" spans="1:6" x14ac:dyDescent="0.35">
      <c r="D23">
        <f t="shared" si="0"/>
        <v>22</v>
      </c>
      <c r="F23">
        <f t="shared" si="1"/>
        <v>2001</v>
      </c>
    </row>
    <row r="24" spans="1:6" x14ac:dyDescent="0.35">
      <c r="D24">
        <f t="shared" si="0"/>
        <v>23</v>
      </c>
      <c r="F24">
        <f t="shared" si="1"/>
        <v>2002</v>
      </c>
    </row>
    <row r="25" spans="1:6" x14ac:dyDescent="0.35">
      <c r="D25">
        <f t="shared" si="0"/>
        <v>24</v>
      </c>
      <c r="F25">
        <f t="shared" si="1"/>
        <v>2003</v>
      </c>
    </row>
    <row r="26" spans="1:6" x14ac:dyDescent="0.35">
      <c r="D26">
        <f t="shared" si="0"/>
        <v>25</v>
      </c>
      <c r="F26">
        <f t="shared" si="1"/>
        <v>2004</v>
      </c>
    </row>
    <row r="27" spans="1:6" x14ac:dyDescent="0.35">
      <c r="D27">
        <f t="shared" si="0"/>
        <v>26</v>
      </c>
      <c r="F27">
        <f t="shared" si="1"/>
        <v>2005</v>
      </c>
    </row>
    <row r="28" spans="1:6" x14ac:dyDescent="0.35">
      <c r="D28">
        <f t="shared" si="0"/>
        <v>27</v>
      </c>
      <c r="F28">
        <f t="shared" si="1"/>
        <v>2006</v>
      </c>
    </row>
    <row r="29" spans="1:6" x14ac:dyDescent="0.35">
      <c r="D29">
        <f t="shared" si="0"/>
        <v>28</v>
      </c>
      <c r="F29">
        <f t="shared" si="1"/>
        <v>2007</v>
      </c>
    </row>
    <row r="30" spans="1:6" x14ac:dyDescent="0.35">
      <c r="A30" s="15"/>
      <c r="D30">
        <f t="shared" si="0"/>
        <v>29</v>
      </c>
      <c r="F30">
        <f t="shared" si="1"/>
        <v>2008</v>
      </c>
    </row>
    <row r="31" spans="1:6" x14ac:dyDescent="0.35">
      <c r="D31">
        <f t="shared" si="0"/>
        <v>30</v>
      </c>
      <c r="F31">
        <f t="shared" si="1"/>
        <v>2009</v>
      </c>
    </row>
    <row r="32" spans="1:6" x14ac:dyDescent="0.35">
      <c r="D32">
        <f t="shared" si="0"/>
        <v>31</v>
      </c>
      <c r="F32">
        <f>F31+1</f>
        <v>2010</v>
      </c>
    </row>
    <row r="33" spans="6:6" x14ac:dyDescent="0.35">
      <c r="F33">
        <v>2011</v>
      </c>
    </row>
    <row r="34" spans="6:6" x14ac:dyDescent="0.35">
      <c r="F34">
        <v>2012</v>
      </c>
    </row>
    <row r="35" spans="6:6" x14ac:dyDescent="0.35">
      <c r="F35">
        <v>2013</v>
      </c>
    </row>
    <row r="36" spans="6:6" x14ac:dyDescent="0.35">
      <c r="F36">
        <v>2014</v>
      </c>
    </row>
    <row r="37" spans="6:6" x14ac:dyDescent="0.35">
      <c r="F37">
        <v>2015</v>
      </c>
    </row>
    <row r="38" spans="6:6" x14ac:dyDescent="0.35">
      <c r="F38">
        <v>2016</v>
      </c>
    </row>
    <row r="39" spans="6:6" x14ac:dyDescent="0.35">
      <c r="F39">
        <v>2017</v>
      </c>
    </row>
    <row r="40" spans="6:6" x14ac:dyDescent="0.35">
      <c r="F40">
        <v>2018</v>
      </c>
    </row>
    <row r="41" spans="6:6" x14ac:dyDescent="0.35">
      <c r="F41">
        <v>2019</v>
      </c>
    </row>
    <row r="42" spans="6:6" x14ac:dyDescent="0.35">
      <c r="F42">
        <v>2020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O210"/>
  <sheetViews>
    <sheetView workbookViewId="0"/>
  </sheetViews>
  <sheetFormatPr baseColWidth="10" defaultRowHeight="12.75" x14ac:dyDescent="0.35"/>
  <cols>
    <col min="1" max="1" width="10.3984375" style="17" customWidth="1"/>
    <col min="2" max="2" width="26.1328125" style="18" customWidth="1"/>
    <col min="3" max="3" width="11.3984375" style="19" customWidth="1"/>
    <col min="11" max="11" width="40" customWidth="1"/>
  </cols>
  <sheetData>
    <row r="1" spans="1:14" ht="13.9" x14ac:dyDescent="0.4">
      <c r="A1" s="9" t="s">
        <v>0</v>
      </c>
      <c r="B1" s="11" t="s">
        <v>1</v>
      </c>
      <c r="C1" s="23" t="s">
        <v>48</v>
      </c>
    </row>
    <row r="2" spans="1:14" ht="13.15" x14ac:dyDescent="0.4">
      <c r="A2" s="10"/>
      <c r="B2" s="12"/>
      <c r="C2" s="24"/>
      <c r="L2" s="20"/>
      <c r="M2" s="20"/>
      <c r="N2" s="20"/>
    </row>
    <row r="3" spans="1:14" ht="13.15" x14ac:dyDescent="0.4">
      <c r="A3" s="17">
        <v>35433</v>
      </c>
      <c r="B3" s="18" t="s">
        <v>12</v>
      </c>
      <c r="C3" s="19" t="s">
        <v>45</v>
      </c>
      <c r="K3" s="16"/>
      <c r="L3" s="21"/>
      <c r="M3" s="21"/>
      <c r="N3" s="21"/>
    </row>
    <row r="4" spans="1:14" ht="13.15" x14ac:dyDescent="0.4">
      <c r="A4" s="17">
        <v>35439</v>
      </c>
      <c r="B4" s="18" t="s">
        <v>9</v>
      </c>
      <c r="C4" s="19" t="s">
        <v>46</v>
      </c>
      <c r="K4" s="16"/>
      <c r="L4" s="21"/>
      <c r="M4" s="21"/>
      <c r="N4" s="21"/>
    </row>
    <row r="5" spans="1:14" ht="13.15" x14ac:dyDescent="0.4">
      <c r="A5" s="17">
        <v>35446</v>
      </c>
      <c r="B5" s="18" t="s">
        <v>11</v>
      </c>
      <c r="C5" s="19" t="s">
        <v>46</v>
      </c>
      <c r="K5" s="16"/>
      <c r="L5" s="21"/>
      <c r="M5" s="21"/>
      <c r="N5" s="21"/>
    </row>
    <row r="6" spans="1:14" ht="13.15" x14ac:dyDescent="0.4">
      <c r="A6" s="17">
        <v>35458</v>
      </c>
      <c r="B6" s="18" t="s">
        <v>8</v>
      </c>
      <c r="C6" s="19" t="s">
        <v>46</v>
      </c>
      <c r="K6" s="16"/>
      <c r="L6" s="21"/>
      <c r="M6" s="21"/>
      <c r="N6" s="21"/>
    </row>
    <row r="7" spans="1:14" ht="13.15" x14ac:dyDescent="0.4">
      <c r="A7" s="17">
        <v>35459</v>
      </c>
      <c r="B7" s="18" t="s">
        <v>8</v>
      </c>
      <c r="C7" s="19" t="s">
        <v>45</v>
      </c>
      <c r="K7" s="16"/>
      <c r="L7" s="21"/>
      <c r="M7" s="21"/>
      <c r="N7" s="21"/>
    </row>
    <row r="8" spans="1:14" ht="13.15" x14ac:dyDescent="0.4">
      <c r="A8" s="17">
        <v>35465</v>
      </c>
      <c r="B8" s="18" t="s">
        <v>32</v>
      </c>
      <c r="C8" s="19" t="s">
        <v>45</v>
      </c>
      <c r="K8" s="16"/>
      <c r="L8" s="21"/>
      <c r="M8" s="21"/>
      <c r="N8" s="21"/>
    </row>
    <row r="9" spans="1:14" ht="13.15" x14ac:dyDescent="0.4">
      <c r="A9" s="17">
        <v>35467</v>
      </c>
      <c r="B9" s="18" t="s">
        <v>12</v>
      </c>
      <c r="C9" s="19" t="s">
        <v>45</v>
      </c>
      <c r="K9" s="16"/>
      <c r="L9" s="21"/>
      <c r="M9" s="21"/>
      <c r="N9" s="21"/>
    </row>
    <row r="10" spans="1:14" ht="13.15" x14ac:dyDescent="0.4">
      <c r="A10" s="17">
        <v>35473</v>
      </c>
      <c r="B10" s="18" t="s">
        <v>8</v>
      </c>
      <c r="C10" s="19" t="s">
        <v>46</v>
      </c>
      <c r="K10" s="16"/>
      <c r="L10" s="21"/>
      <c r="M10" s="21"/>
      <c r="N10" s="21"/>
    </row>
    <row r="11" spans="1:14" ht="13.15" x14ac:dyDescent="0.4">
      <c r="A11" s="17">
        <v>35480</v>
      </c>
      <c r="B11" s="18" t="s">
        <v>12</v>
      </c>
      <c r="C11" s="19" t="s">
        <v>45</v>
      </c>
      <c r="K11" s="16"/>
      <c r="L11" s="21"/>
      <c r="M11" s="21"/>
      <c r="N11" s="21"/>
    </row>
    <row r="12" spans="1:14" x14ac:dyDescent="0.35">
      <c r="A12" s="17">
        <v>35480</v>
      </c>
      <c r="B12" s="18" t="s">
        <v>5</v>
      </c>
      <c r="C12" s="19" t="s">
        <v>45</v>
      </c>
    </row>
    <row r="13" spans="1:14" x14ac:dyDescent="0.35">
      <c r="A13" s="17">
        <v>35484</v>
      </c>
      <c r="B13" s="18" t="s">
        <v>32</v>
      </c>
      <c r="C13" s="19" t="s">
        <v>46</v>
      </c>
    </row>
    <row r="14" spans="1:14" x14ac:dyDescent="0.35">
      <c r="A14" s="17">
        <v>35490</v>
      </c>
      <c r="B14" s="18" t="s">
        <v>9</v>
      </c>
      <c r="C14" s="19" t="s">
        <v>46</v>
      </c>
    </row>
    <row r="15" spans="1:14" ht="13.15" x14ac:dyDescent="0.4">
      <c r="A15" s="17">
        <v>35494</v>
      </c>
      <c r="B15" s="18" t="s">
        <v>11</v>
      </c>
      <c r="C15" s="19" t="s">
        <v>45</v>
      </c>
      <c r="L15" s="20">
        <v>2001</v>
      </c>
      <c r="M15" s="20">
        <v>-1</v>
      </c>
      <c r="N15" s="20">
        <v>-1</v>
      </c>
    </row>
    <row r="16" spans="1:14" ht="13.15" x14ac:dyDescent="0.4">
      <c r="A16" s="17">
        <v>35495</v>
      </c>
      <c r="B16" s="18" t="s">
        <v>31</v>
      </c>
      <c r="C16" s="19" t="s">
        <v>46</v>
      </c>
      <c r="K16" s="16" t="s">
        <v>6</v>
      </c>
      <c r="L16" s="21">
        <f>COUNTIF(B3:B4,K16)</f>
        <v>0</v>
      </c>
      <c r="M16" s="21">
        <f>COUNTIF(B124:B172,K16)</f>
        <v>5</v>
      </c>
      <c r="N16" s="21">
        <f>COUNTIF(B173:B213,K16)</f>
        <v>1</v>
      </c>
    </row>
    <row r="17" spans="1:15" ht="13.15" x14ac:dyDescent="0.4">
      <c r="A17" s="17">
        <v>35496</v>
      </c>
      <c r="B17" s="18" t="s">
        <v>7</v>
      </c>
      <c r="C17" s="19" t="s">
        <v>46</v>
      </c>
      <c r="K17" s="16" t="s">
        <v>7</v>
      </c>
      <c r="L17" s="21">
        <f>COUNTIF(B3:B4,K17)</f>
        <v>0</v>
      </c>
      <c r="M17" s="21">
        <f>COUNTIF(B124:B172,K17)</f>
        <v>3</v>
      </c>
      <c r="N17" s="21">
        <f>COUNTIF(B173:B213,K17)</f>
        <v>2</v>
      </c>
    </row>
    <row r="18" spans="1:15" ht="13.15" x14ac:dyDescent="0.4">
      <c r="A18" s="17">
        <v>35497</v>
      </c>
      <c r="B18" s="18" t="s">
        <v>6</v>
      </c>
      <c r="C18" s="19" t="s">
        <v>46</v>
      </c>
      <c r="K18" s="16" t="s">
        <v>8</v>
      </c>
      <c r="L18" s="21">
        <f>COUNTIF(B3:B4,K18)</f>
        <v>0</v>
      </c>
      <c r="M18" s="21">
        <f>COUNTIF(B124:B172,K18)</f>
        <v>2</v>
      </c>
      <c r="N18" s="21">
        <f>COUNTIF(B173:B213,K18)</f>
        <v>2</v>
      </c>
    </row>
    <row r="19" spans="1:15" ht="13.15" x14ac:dyDescent="0.4">
      <c r="A19" s="17">
        <v>35511</v>
      </c>
      <c r="B19" s="18" t="s">
        <v>9</v>
      </c>
      <c r="C19" s="19" t="s">
        <v>46</v>
      </c>
      <c r="K19" s="16" t="s">
        <v>9</v>
      </c>
      <c r="L19" s="21">
        <f>COUNTIF(B3:B4,K19)</f>
        <v>1</v>
      </c>
      <c r="M19" s="21">
        <f>COUNTIF(B124:B172,K19)</f>
        <v>3</v>
      </c>
      <c r="N19" s="21">
        <f>COUNTIF(B173:B213,K19)</f>
        <v>7</v>
      </c>
    </row>
    <row r="20" spans="1:15" ht="13.15" x14ac:dyDescent="0.4">
      <c r="A20" s="17">
        <v>35526</v>
      </c>
      <c r="B20" s="18" t="s">
        <v>10</v>
      </c>
      <c r="C20" s="19" t="s">
        <v>46</v>
      </c>
      <c r="K20" s="16" t="s">
        <v>10</v>
      </c>
      <c r="L20" s="21">
        <f>COUNTIF(B3:B4,K20)</f>
        <v>0</v>
      </c>
      <c r="M20" s="21">
        <f>COUNTIF(B124:B172,K20)</f>
        <v>8</v>
      </c>
      <c r="N20" s="21">
        <f>COUNTIF(B173:B213,K20)</f>
        <v>4</v>
      </c>
    </row>
    <row r="21" spans="1:15" ht="13.15" x14ac:dyDescent="0.4">
      <c r="A21" s="17">
        <v>35544</v>
      </c>
      <c r="B21" s="18" t="s">
        <v>9</v>
      </c>
      <c r="C21" s="19" t="s">
        <v>45</v>
      </c>
      <c r="K21" s="16" t="s">
        <v>11</v>
      </c>
      <c r="L21" s="21">
        <f>COUNTIF(B3:B4,K21)</f>
        <v>0</v>
      </c>
      <c r="M21" s="21">
        <f>COUNTIF(B124:B172,K21)</f>
        <v>6</v>
      </c>
      <c r="N21" s="21">
        <f>COUNTIF(B173:B213,K21)</f>
        <v>6</v>
      </c>
    </row>
    <row r="22" spans="1:15" ht="13.15" x14ac:dyDescent="0.4">
      <c r="A22" s="17">
        <v>35556</v>
      </c>
      <c r="B22" s="18" t="s">
        <v>32</v>
      </c>
      <c r="C22" s="19" t="s">
        <v>45</v>
      </c>
      <c r="K22" s="16" t="s">
        <v>12</v>
      </c>
      <c r="L22" s="21">
        <f>COUNTIF(B3:B4,K22)</f>
        <v>1</v>
      </c>
      <c r="M22" s="21">
        <f>COUNTIF(B124:B172,K22)</f>
        <v>2</v>
      </c>
      <c r="N22" s="21">
        <f>COUNTIF(B173:B213,K22)</f>
        <v>2</v>
      </c>
    </row>
    <row r="23" spans="1:15" ht="13.15" x14ac:dyDescent="0.4">
      <c r="A23" s="17">
        <v>35573</v>
      </c>
      <c r="B23" s="18" t="s">
        <v>10</v>
      </c>
      <c r="C23" s="19" t="s">
        <v>45</v>
      </c>
      <c r="K23" s="16" t="s">
        <v>30</v>
      </c>
      <c r="L23" s="21">
        <f>COUNTIF(B3:B4,K23)</f>
        <v>0</v>
      </c>
      <c r="M23" s="21">
        <f>COUNTIF(B124:B172,K23)</f>
        <v>6</v>
      </c>
      <c r="N23" s="21">
        <f>COUNTIF(B173:B213,K23)</f>
        <v>5</v>
      </c>
    </row>
    <row r="24" spans="1:15" ht="13.15" x14ac:dyDescent="0.4">
      <c r="A24" s="17">
        <v>35577</v>
      </c>
      <c r="B24" s="18" t="s">
        <v>9</v>
      </c>
      <c r="C24" s="19" t="s">
        <v>46</v>
      </c>
      <c r="K24" s="16" t="s">
        <v>31</v>
      </c>
      <c r="L24" s="21">
        <f>COUNTIF(B3:B4,K24)</f>
        <v>0</v>
      </c>
      <c r="M24" s="21">
        <f>COUNTIF(B124:B172,K24)</f>
        <v>4</v>
      </c>
      <c r="N24" s="21">
        <f>COUNTIF(B173:B213,K24)</f>
        <v>1</v>
      </c>
    </row>
    <row r="25" spans="1:15" ht="13.15" x14ac:dyDescent="0.4">
      <c r="A25" s="17">
        <v>35580</v>
      </c>
      <c r="B25" s="18" t="s">
        <v>10</v>
      </c>
      <c r="C25" s="19" t="s">
        <v>45</v>
      </c>
      <c r="K25" s="16" t="s">
        <v>32</v>
      </c>
      <c r="L25" s="21">
        <f>COUNTIF(B3:B4,K25)</f>
        <v>0</v>
      </c>
      <c r="M25" s="21">
        <f>COUNTIF(B124:B172,K25)</f>
        <v>4</v>
      </c>
      <c r="N25" s="21">
        <f>COUNTIF(B173:B213,K25)</f>
        <v>5</v>
      </c>
    </row>
    <row r="26" spans="1:15" ht="13.15" x14ac:dyDescent="0.4">
      <c r="A26" s="17">
        <v>35598</v>
      </c>
      <c r="B26" s="18" t="s">
        <v>32</v>
      </c>
      <c r="C26" s="19" t="s">
        <v>46</v>
      </c>
      <c r="K26" s="16" t="s">
        <v>5</v>
      </c>
      <c r="L26" s="21">
        <f>COUNTIF(B3:B4,K26)</f>
        <v>0</v>
      </c>
      <c r="M26" s="21">
        <f>COUNTIF(B124:B172,K26)</f>
        <v>6</v>
      </c>
      <c r="N26" s="21">
        <f>COUNTIF(B173:B213,K26)</f>
        <v>3</v>
      </c>
    </row>
    <row r="27" spans="1:15" x14ac:dyDescent="0.35">
      <c r="A27" s="17">
        <v>35600</v>
      </c>
      <c r="B27" s="18" t="s">
        <v>12</v>
      </c>
      <c r="C27" s="19" t="s">
        <v>45</v>
      </c>
      <c r="L27">
        <f>SUM(L16:L26)</f>
        <v>2</v>
      </c>
      <c r="M27">
        <f>SUM(M16:M26)</f>
        <v>49</v>
      </c>
      <c r="N27">
        <f>SUM(N16:N26)</f>
        <v>38</v>
      </c>
      <c r="O27">
        <f>SUMIF(L15:N15,"&gt;0",L27:N27)</f>
        <v>2</v>
      </c>
    </row>
    <row r="28" spans="1:15" x14ac:dyDescent="0.35">
      <c r="A28" s="17">
        <v>35616</v>
      </c>
      <c r="B28" s="18" t="s">
        <v>31</v>
      </c>
      <c r="C28" s="19" t="s">
        <v>45</v>
      </c>
    </row>
    <row r="29" spans="1:15" x14ac:dyDescent="0.35">
      <c r="A29" s="17">
        <v>35623</v>
      </c>
      <c r="B29" s="18" t="s">
        <v>11</v>
      </c>
      <c r="C29" s="19" t="s">
        <v>46</v>
      </c>
    </row>
    <row r="30" spans="1:15" x14ac:dyDescent="0.35">
      <c r="A30" s="17">
        <v>35628</v>
      </c>
      <c r="B30" s="18" t="s">
        <v>6</v>
      </c>
      <c r="C30" s="19" t="s">
        <v>45</v>
      </c>
    </row>
    <row r="31" spans="1:15" ht="13.15" x14ac:dyDescent="0.4">
      <c r="A31" s="17">
        <v>35639</v>
      </c>
      <c r="B31" s="18" t="s">
        <v>30</v>
      </c>
      <c r="C31" s="19" t="s">
        <v>46</v>
      </c>
      <c r="L31" s="20"/>
      <c r="M31" s="20"/>
      <c r="N31" s="20"/>
    </row>
    <row r="32" spans="1:15" ht="13.15" x14ac:dyDescent="0.4">
      <c r="A32" s="17">
        <v>35646</v>
      </c>
      <c r="B32" s="18" t="s">
        <v>32</v>
      </c>
      <c r="C32" s="19" t="s">
        <v>45</v>
      </c>
      <c r="K32" s="16"/>
      <c r="L32" s="21"/>
      <c r="M32" s="21"/>
      <c r="N32" s="21"/>
    </row>
    <row r="33" spans="1:14" ht="13.15" x14ac:dyDescent="0.4">
      <c r="A33" s="17">
        <v>35651</v>
      </c>
      <c r="B33" s="18" t="s">
        <v>6</v>
      </c>
      <c r="C33" s="19" t="s">
        <v>46</v>
      </c>
      <c r="K33" s="16"/>
      <c r="L33" s="21"/>
      <c r="M33" s="21"/>
      <c r="N33" s="21"/>
    </row>
    <row r="34" spans="1:14" ht="13.15" x14ac:dyDescent="0.4">
      <c r="A34" s="17">
        <v>35661</v>
      </c>
      <c r="B34" s="18" t="s">
        <v>11</v>
      </c>
      <c r="C34" s="19" t="s">
        <v>46</v>
      </c>
      <c r="K34" s="16"/>
      <c r="L34" s="21"/>
      <c r="M34" s="21"/>
      <c r="N34" s="21"/>
    </row>
    <row r="35" spans="1:14" ht="13.15" x14ac:dyDescent="0.4">
      <c r="A35" s="17">
        <v>35682</v>
      </c>
      <c r="B35" s="18" t="s">
        <v>30</v>
      </c>
      <c r="C35" s="19" t="s">
        <v>45</v>
      </c>
      <c r="K35" s="16"/>
      <c r="L35" s="21"/>
      <c r="M35" s="21"/>
      <c r="N35" s="21"/>
    </row>
    <row r="36" spans="1:14" ht="13.15" x14ac:dyDescent="0.4">
      <c r="A36" s="17">
        <v>35687</v>
      </c>
      <c r="B36" s="18" t="s">
        <v>32</v>
      </c>
      <c r="C36" s="19" t="s">
        <v>45</v>
      </c>
      <c r="K36" s="16"/>
      <c r="L36" s="21"/>
      <c r="M36" s="21"/>
      <c r="N36" s="21"/>
    </row>
    <row r="37" spans="1:14" ht="13.15" x14ac:dyDescent="0.4">
      <c r="A37" s="17">
        <v>35695</v>
      </c>
      <c r="B37" s="18" t="s">
        <v>32</v>
      </c>
      <c r="C37" s="19" t="s">
        <v>46</v>
      </c>
      <c r="K37" s="16"/>
      <c r="L37" s="21"/>
      <c r="M37" s="21"/>
      <c r="N37" s="21"/>
    </row>
    <row r="38" spans="1:14" x14ac:dyDescent="0.35">
      <c r="A38" s="17">
        <v>35695</v>
      </c>
      <c r="B38" s="18" t="s">
        <v>32</v>
      </c>
      <c r="C38" s="19" t="s">
        <v>46</v>
      </c>
    </row>
    <row r="39" spans="1:14" x14ac:dyDescent="0.35">
      <c r="A39" s="17">
        <v>35695</v>
      </c>
      <c r="B39" s="18" t="s">
        <v>31</v>
      </c>
      <c r="C39" s="19" t="s">
        <v>45</v>
      </c>
    </row>
    <row r="40" spans="1:14" x14ac:dyDescent="0.35">
      <c r="A40" s="17">
        <v>35702</v>
      </c>
      <c r="B40" s="18" t="s">
        <v>5</v>
      </c>
      <c r="C40" s="19" t="s">
        <v>45</v>
      </c>
    </row>
    <row r="41" spans="1:14" x14ac:dyDescent="0.35">
      <c r="A41" s="17">
        <v>35724</v>
      </c>
      <c r="B41" s="18" t="s">
        <v>8</v>
      </c>
      <c r="C41" s="19" t="s">
        <v>46</v>
      </c>
    </row>
    <row r="42" spans="1:14" x14ac:dyDescent="0.35">
      <c r="A42" s="17">
        <v>35726</v>
      </c>
      <c r="B42" s="18" t="s">
        <v>32</v>
      </c>
      <c r="C42" s="19" t="s">
        <v>45</v>
      </c>
    </row>
    <row r="43" spans="1:14" x14ac:dyDescent="0.35">
      <c r="A43" s="17">
        <v>35731</v>
      </c>
      <c r="B43" s="18" t="s">
        <v>8</v>
      </c>
      <c r="C43" s="19" t="s">
        <v>45</v>
      </c>
    </row>
    <row r="44" spans="1:14" x14ac:dyDescent="0.35">
      <c r="A44" s="17">
        <v>35744</v>
      </c>
      <c r="B44" s="18" t="s">
        <v>9</v>
      </c>
      <c r="C44" s="19" t="s">
        <v>46</v>
      </c>
    </row>
    <row r="45" spans="1:14" x14ac:dyDescent="0.35">
      <c r="A45" s="17">
        <v>35789</v>
      </c>
      <c r="B45" s="18" t="s">
        <v>6</v>
      </c>
      <c r="C45" s="19" t="s">
        <v>46</v>
      </c>
    </row>
    <row r="46" spans="1:14" x14ac:dyDescent="0.35">
      <c r="A46" s="17">
        <v>35798</v>
      </c>
      <c r="B46" s="18" t="s">
        <v>7</v>
      </c>
      <c r="C46" s="19" t="s">
        <v>46</v>
      </c>
    </row>
    <row r="47" spans="1:14" x14ac:dyDescent="0.35">
      <c r="A47" s="17">
        <v>35803</v>
      </c>
      <c r="B47" s="18" t="s">
        <v>5</v>
      </c>
      <c r="C47" s="19" t="s">
        <v>45</v>
      </c>
    </row>
    <row r="48" spans="1:14" x14ac:dyDescent="0.35">
      <c r="A48" s="17">
        <v>35811</v>
      </c>
      <c r="B48" s="18" t="s">
        <v>31</v>
      </c>
      <c r="C48" s="19" t="s">
        <v>46</v>
      </c>
    </row>
    <row r="49" spans="1:3" x14ac:dyDescent="0.35">
      <c r="A49" s="17">
        <v>35815</v>
      </c>
      <c r="B49" s="18" t="s">
        <v>30</v>
      </c>
      <c r="C49" s="19" t="s">
        <v>45</v>
      </c>
    </row>
    <row r="50" spans="1:3" x14ac:dyDescent="0.35">
      <c r="A50" s="17">
        <v>35820</v>
      </c>
      <c r="B50" s="18" t="s">
        <v>30</v>
      </c>
      <c r="C50" s="19" t="s">
        <v>45</v>
      </c>
    </row>
    <row r="51" spans="1:3" x14ac:dyDescent="0.35">
      <c r="A51" s="17">
        <v>35830</v>
      </c>
      <c r="B51" s="18" t="s">
        <v>8</v>
      </c>
      <c r="C51" s="19" t="s">
        <v>46</v>
      </c>
    </row>
    <row r="52" spans="1:3" x14ac:dyDescent="0.35">
      <c r="A52" s="17">
        <v>35841</v>
      </c>
      <c r="B52" s="18" t="s">
        <v>11</v>
      </c>
      <c r="C52" s="19" t="s">
        <v>46</v>
      </c>
    </row>
    <row r="53" spans="1:3" x14ac:dyDescent="0.35">
      <c r="A53" s="17">
        <v>35842</v>
      </c>
      <c r="B53" s="18" t="s">
        <v>7</v>
      </c>
      <c r="C53" s="19" t="s">
        <v>45</v>
      </c>
    </row>
    <row r="54" spans="1:3" x14ac:dyDescent="0.35">
      <c r="A54" s="17">
        <v>35848</v>
      </c>
      <c r="B54" s="18" t="s">
        <v>31</v>
      </c>
      <c r="C54" s="19" t="s">
        <v>46</v>
      </c>
    </row>
    <row r="55" spans="1:3" x14ac:dyDescent="0.35">
      <c r="A55" s="17">
        <v>35856</v>
      </c>
      <c r="B55" s="18" t="s">
        <v>32</v>
      </c>
      <c r="C55" s="19" t="s">
        <v>45</v>
      </c>
    </row>
    <row r="56" spans="1:3" x14ac:dyDescent="0.35">
      <c r="A56" s="17">
        <v>35880</v>
      </c>
      <c r="B56" s="18" t="s">
        <v>6</v>
      </c>
      <c r="C56" s="19" t="s">
        <v>45</v>
      </c>
    </row>
    <row r="57" spans="1:3" x14ac:dyDescent="0.35">
      <c r="A57" s="17">
        <v>35881</v>
      </c>
      <c r="B57" s="18" t="s">
        <v>8</v>
      </c>
      <c r="C57" s="19" t="s">
        <v>45</v>
      </c>
    </row>
    <row r="58" spans="1:3" x14ac:dyDescent="0.35">
      <c r="A58" s="17">
        <v>35888</v>
      </c>
      <c r="B58" s="18" t="s">
        <v>5</v>
      </c>
      <c r="C58" s="19" t="s">
        <v>46</v>
      </c>
    </row>
    <row r="59" spans="1:3" x14ac:dyDescent="0.35">
      <c r="A59" s="17">
        <v>35895</v>
      </c>
      <c r="B59" s="18" t="s">
        <v>30</v>
      </c>
      <c r="C59" s="19" t="s">
        <v>45</v>
      </c>
    </row>
    <row r="60" spans="1:3" x14ac:dyDescent="0.35">
      <c r="A60" s="17">
        <v>35903</v>
      </c>
      <c r="B60" s="18" t="s">
        <v>32</v>
      </c>
      <c r="C60" s="19" t="s">
        <v>45</v>
      </c>
    </row>
    <row r="61" spans="1:3" x14ac:dyDescent="0.35">
      <c r="A61" s="17">
        <v>35910</v>
      </c>
      <c r="B61" s="18" t="s">
        <v>10</v>
      </c>
      <c r="C61" s="19" t="s">
        <v>45</v>
      </c>
    </row>
    <row r="62" spans="1:3" x14ac:dyDescent="0.35">
      <c r="A62" s="17">
        <v>35921</v>
      </c>
      <c r="B62" s="18" t="s">
        <v>7</v>
      </c>
      <c r="C62" s="19" t="s">
        <v>45</v>
      </c>
    </row>
    <row r="63" spans="1:3" x14ac:dyDescent="0.35">
      <c r="A63" s="17">
        <v>35934</v>
      </c>
      <c r="B63" s="18" t="s">
        <v>11</v>
      </c>
      <c r="C63" s="19" t="s">
        <v>45</v>
      </c>
    </row>
    <row r="64" spans="1:3" x14ac:dyDescent="0.35">
      <c r="A64" s="17">
        <v>35935</v>
      </c>
      <c r="B64" s="18" t="s">
        <v>10</v>
      </c>
      <c r="C64" s="19" t="s">
        <v>46</v>
      </c>
    </row>
    <row r="65" spans="1:3" x14ac:dyDescent="0.35">
      <c r="A65" s="17">
        <v>35940</v>
      </c>
      <c r="B65" s="18" t="s">
        <v>12</v>
      </c>
      <c r="C65" s="19" t="s">
        <v>45</v>
      </c>
    </row>
    <row r="66" spans="1:3" x14ac:dyDescent="0.35">
      <c r="A66" s="17">
        <v>35942</v>
      </c>
      <c r="B66" s="18" t="s">
        <v>11</v>
      </c>
      <c r="C66" s="19" t="s">
        <v>46</v>
      </c>
    </row>
    <row r="67" spans="1:3" x14ac:dyDescent="0.35">
      <c r="A67" s="17">
        <v>35952</v>
      </c>
      <c r="B67" s="18" t="s">
        <v>31</v>
      </c>
      <c r="C67" s="19" t="s">
        <v>46</v>
      </c>
    </row>
    <row r="68" spans="1:3" x14ac:dyDescent="0.35">
      <c r="A68" s="17">
        <v>35965</v>
      </c>
      <c r="B68" s="18" t="s">
        <v>8</v>
      </c>
      <c r="C68" s="19" t="s">
        <v>45</v>
      </c>
    </row>
    <row r="69" spans="1:3" x14ac:dyDescent="0.35">
      <c r="A69" s="17">
        <v>35976</v>
      </c>
      <c r="B69" s="18" t="s">
        <v>12</v>
      </c>
      <c r="C69" s="19" t="s">
        <v>46</v>
      </c>
    </row>
    <row r="70" spans="1:3" x14ac:dyDescent="0.35">
      <c r="A70" s="17">
        <v>35977</v>
      </c>
      <c r="B70" s="18" t="s">
        <v>5</v>
      </c>
      <c r="C70" s="19" t="s">
        <v>46</v>
      </c>
    </row>
    <row r="71" spans="1:3" x14ac:dyDescent="0.35">
      <c r="A71" s="17">
        <v>35980</v>
      </c>
      <c r="B71" s="18" t="s">
        <v>11</v>
      </c>
      <c r="C71" s="19" t="s">
        <v>46</v>
      </c>
    </row>
    <row r="72" spans="1:3" x14ac:dyDescent="0.35">
      <c r="A72" s="17">
        <v>35990</v>
      </c>
      <c r="B72" s="18" t="s">
        <v>8</v>
      </c>
      <c r="C72" s="19" t="s">
        <v>46</v>
      </c>
    </row>
    <row r="73" spans="1:3" x14ac:dyDescent="0.35">
      <c r="A73" s="17">
        <v>35996</v>
      </c>
      <c r="B73" s="18" t="s">
        <v>9</v>
      </c>
      <c r="C73" s="19" t="s">
        <v>45</v>
      </c>
    </row>
    <row r="74" spans="1:3" x14ac:dyDescent="0.35">
      <c r="A74" s="17">
        <v>36002</v>
      </c>
      <c r="B74" s="18" t="s">
        <v>6</v>
      </c>
      <c r="C74" s="19" t="s">
        <v>46</v>
      </c>
    </row>
    <row r="75" spans="1:3" x14ac:dyDescent="0.35">
      <c r="A75" s="17">
        <v>36005</v>
      </c>
      <c r="B75" s="18" t="s">
        <v>10</v>
      </c>
      <c r="C75" s="19" t="s">
        <v>45</v>
      </c>
    </row>
    <row r="76" spans="1:3" x14ac:dyDescent="0.35">
      <c r="A76" s="17">
        <v>36027</v>
      </c>
      <c r="B76" s="18" t="s">
        <v>5</v>
      </c>
      <c r="C76" s="19" t="s">
        <v>46</v>
      </c>
    </row>
    <row r="77" spans="1:3" x14ac:dyDescent="0.35">
      <c r="A77" s="17">
        <v>36037</v>
      </c>
      <c r="B77" s="18" t="s">
        <v>10</v>
      </c>
      <c r="C77" s="19" t="s">
        <v>45</v>
      </c>
    </row>
    <row r="78" spans="1:3" x14ac:dyDescent="0.35">
      <c r="A78" s="17">
        <v>36044</v>
      </c>
      <c r="B78" s="18" t="s">
        <v>11</v>
      </c>
      <c r="C78" s="19" t="s">
        <v>45</v>
      </c>
    </row>
    <row r="79" spans="1:3" x14ac:dyDescent="0.35">
      <c r="A79" s="17">
        <v>36049</v>
      </c>
      <c r="B79" s="18" t="s">
        <v>8</v>
      </c>
      <c r="C79" s="19" t="s">
        <v>46</v>
      </c>
    </row>
    <row r="80" spans="1:3" x14ac:dyDescent="0.35">
      <c r="A80" s="17">
        <v>36057</v>
      </c>
      <c r="B80" s="18" t="s">
        <v>6</v>
      </c>
      <c r="C80" s="19" t="s">
        <v>46</v>
      </c>
    </row>
    <row r="81" spans="1:3" x14ac:dyDescent="0.35">
      <c r="A81" s="17">
        <v>36066</v>
      </c>
      <c r="B81" s="18" t="s">
        <v>10</v>
      </c>
      <c r="C81" s="19" t="s">
        <v>46</v>
      </c>
    </row>
    <row r="82" spans="1:3" x14ac:dyDescent="0.35">
      <c r="A82" s="17">
        <v>36069</v>
      </c>
      <c r="B82" s="18" t="s">
        <v>30</v>
      </c>
      <c r="C82" s="19" t="s">
        <v>45</v>
      </c>
    </row>
    <row r="83" spans="1:3" x14ac:dyDescent="0.35">
      <c r="A83" s="17">
        <v>36071</v>
      </c>
      <c r="B83" s="18" t="s">
        <v>10</v>
      </c>
      <c r="C83" s="19" t="s">
        <v>46</v>
      </c>
    </row>
    <row r="84" spans="1:3" x14ac:dyDescent="0.35">
      <c r="A84" s="17">
        <v>36093</v>
      </c>
      <c r="B84" s="18" t="s">
        <v>5</v>
      </c>
      <c r="C84" s="19" t="s">
        <v>45</v>
      </c>
    </row>
    <row r="85" spans="1:3" x14ac:dyDescent="0.35">
      <c r="A85" s="17">
        <v>36135</v>
      </c>
      <c r="B85" s="18" t="s">
        <v>7</v>
      </c>
      <c r="C85" s="19" t="s">
        <v>46</v>
      </c>
    </row>
    <row r="86" spans="1:3" x14ac:dyDescent="0.35">
      <c r="A86" s="17">
        <v>36151</v>
      </c>
      <c r="B86" s="18" t="s">
        <v>6</v>
      </c>
      <c r="C86" s="19" t="s">
        <v>45</v>
      </c>
    </row>
    <row r="87" spans="1:3" x14ac:dyDescent="0.35">
      <c r="A87" s="17">
        <v>36152</v>
      </c>
      <c r="B87" s="18" t="s">
        <v>30</v>
      </c>
      <c r="C87" s="19" t="s">
        <v>46</v>
      </c>
    </row>
    <row r="88" spans="1:3" x14ac:dyDescent="0.35">
      <c r="A88" s="17">
        <v>36155</v>
      </c>
      <c r="B88" s="18" t="s">
        <v>9</v>
      </c>
      <c r="C88" s="19" t="s">
        <v>46</v>
      </c>
    </row>
    <row r="89" spans="1:3" x14ac:dyDescent="0.35">
      <c r="A89" s="17">
        <v>36162</v>
      </c>
      <c r="B89" s="18" t="s">
        <v>31</v>
      </c>
      <c r="C89" s="19" t="s">
        <v>46</v>
      </c>
    </row>
    <row r="90" spans="1:3" x14ac:dyDescent="0.35">
      <c r="A90" s="17">
        <v>36197</v>
      </c>
      <c r="B90" s="18" t="s">
        <v>8</v>
      </c>
      <c r="C90" s="19" t="s">
        <v>45</v>
      </c>
    </row>
    <row r="91" spans="1:3" x14ac:dyDescent="0.35">
      <c r="A91" s="17">
        <v>36209</v>
      </c>
      <c r="B91" s="18" t="s">
        <v>11</v>
      </c>
      <c r="C91" s="19" t="s">
        <v>45</v>
      </c>
    </row>
    <row r="92" spans="1:3" x14ac:dyDescent="0.35">
      <c r="A92" s="17">
        <v>36210</v>
      </c>
      <c r="B92" s="18" t="s">
        <v>10</v>
      </c>
      <c r="C92" s="19" t="s">
        <v>45</v>
      </c>
    </row>
    <row r="93" spans="1:3" x14ac:dyDescent="0.35">
      <c r="A93" s="17">
        <v>36212</v>
      </c>
      <c r="B93" s="18" t="s">
        <v>6</v>
      </c>
      <c r="C93" s="19" t="s">
        <v>45</v>
      </c>
    </row>
    <row r="94" spans="1:3" x14ac:dyDescent="0.35">
      <c r="A94" s="17">
        <v>36218</v>
      </c>
      <c r="B94" s="18" t="s">
        <v>5</v>
      </c>
      <c r="C94" s="19" t="s">
        <v>46</v>
      </c>
    </row>
    <row r="95" spans="1:3" x14ac:dyDescent="0.35">
      <c r="A95" s="17">
        <v>36230</v>
      </c>
      <c r="B95" s="18" t="s">
        <v>5</v>
      </c>
      <c r="C95" s="19" t="s">
        <v>45</v>
      </c>
    </row>
    <row r="96" spans="1:3" x14ac:dyDescent="0.35">
      <c r="A96" s="17">
        <v>36242</v>
      </c>
      <c r="B96" s="18" t="s">
        <v>12</v>
      </c>
      <c r="C96" s="19" t="s">
        <v>46</v>
      </c>
    </row>
    <row r="97" spans="1:3" x14ac:dyDescent="0.35">
      <c r="A97" s="17">
        <v>36250</v>
      </c>
      <c r="B97" s="18" t="s">
        <v>9</v>
      </c>
      <c r="C97" s="19" t="s">
        <v>45</v>
      </c>
    </row>
    <row r="98" spans="1:3" x14ac:dyDescent="0.35">
      <c r="A98" s="17">
        <v>36256</v>
      </c>
      <c r="B98" s="18" t="s">
        <v>6</v>
      </c>
      <c r="C98" s="19" t="s">
        <v>45</v>
      </c>
    </row>
    <row r="99" spans="1:3" x14ac:dyDescent="0.35">
      <c r="A99" s="17">
        <v>36275</v>
      </c>
      <c r="B99" s="18" t="s">
        <v>11</v>
      </c>
      <c r="C99" s="19" t="s">
        <v>46</v>
      </c>
    </row>
    <row r="100" spans="1:3" x14ac:dyDescent="0.35">
      <c r="A100" s="17">
        <v>36290</v>
      </c>
      <c r="B100" s="18" t="s">
        <v>32</v>
      </c>
      <c r="C100" s="19" t="s">
        <v>45</v>
      </c>
    </row>
    <row r="101" spans="1:3" x14ac:dyDescent="0.35">
      <c r="A101" s="17">
        <v>36291</v>
      </c>
      <c r="B101" s="18" t="s">
        <v>30</v>
      </c>
      <c r="C101" s="19" t="s">
        <v>45</v>
      </c>
    </row>
    <row r="102" spans="1:3" x14ac:dyDescent="0.35">
      <c r="A102" s="17">
        <v>36293</v>
      </c>
      <c r="B102" s="18" t="s">
        <v>7</v>
      </c>
      <c r="C102" s="19" t="s">
        <v>46</v>
      </c>
    </row>
    <row r="103" spans="1:3" x14ac:dyDescent="0.35">
      <c r="A103" s="17">
        <v>36295</v>
      </c>
      <c r="B103" s="18" t="s">
        <v>12</v>
      </c>
      <c r="C103" s="19" t="s">
        <v>46</v>
      </c>
    </row>
    <row r="104" spans="1:3" x14ac:dyDescent="0.35">
      <c r="A104" s="17">
        <v>36301</v>
      </c>
      <c r="B104" s="18" t="s">
        <v>30</v>
      </c>
      <c r="C104" s="19" t="s">
        <v>45</v>
      </c>
    </row>
    <row r="105" spans="1:3" x14ac:dyDescent="0.35">
      <c r="A105" s="17">
        <v>36302</v>
      </c>
      <c r="B105" s="18" t="s">
        <v>6</v>
      </c>
      <c r="C105" s="19" t="s">
        <v>46</v>
      </c>
    </row>
    <row r="106" spans="1:3" x14ac:dyDescent="0.35">
      <c r="A106" s="17">
        <v>36345</v>
      </c>
      <c r="B106" s="18" t="s">
        <v>6</v>
      </c>
      <c r="C106" s="19" t="s">
        <v>45</v>
      </c>
    </row>
    <row r="107" spans="1:3" x14ac:dyDescent="0.35">
      <c r="A107" s="17">
        <v>36358</v>
      </c>
      <c r="B107" s="18" t="s">
        <v>5</v>
      </c>
      <c r="C107" s="19" t="s">
        <v>45</v>
      </c>
    </row>
    <row r="108" spans="1:3" x14ac:dyDescent="0.35">
      <c r="A108" s="17">
        <v>36363</v>
      </c>
      <c r="B108" s="18" t="s">
        <v>9</v>
      </c>
      <c r="C108" s="19" t="s">
        <v>45</v>
      </c>
    </row>
    <row r="109" spans="1:3" x14ac:dyDescent="0.35">
      <c r="A109" s="17">
        <v>36366</v>
      </c>
      <c r="B109" s="18" t="s">
        <v>6</v>
      </c>
      <c r="C109" s="19" t="s">
        <v>45</v>
      </c>
    </row>
    <row r="110" spans="1:3" x14ac:dyDescent="0.35">
      <c r="A110" s="17">
        <v>36385</v>
      </c>
      <c r="B110" s="18" t="s">
        <v>31</v>
      </c>
      <c r="C110" s="19" t="s">
        <v>45</v>
      </c>
    </row>
    <row r="111" spans="1:3" x14ac:dyDescent="0.35">
      <c r="A111" s="17">
        <v>36388</v>
      </c>
      <c r="B111" s="18" t="s">
        <v>11</v>
      </c>
      <c r="C111" s="19" t="s">
        <v>46</v>
      </c>
    </row>
    <row r="112" spans="1:3" x14ac:dyDescent="0.35">
      <c r="A112" s="17">
        <v>36392</v>
      </c>
      <c r="B112" s="18" t="s">
        <v>7</v>
      </c>
      <c r="C112" s="19" t="s">
        <v>45</v>
      </c>
    </row>
    <row r="113" spans="1:3" x14ac:dyDescent="0.35">
      <c r="A113" s="17">
        <v>36402</v>
      </c>
      <c r="B113" s="18" t="s">
        <v>32</v>
      </c>
      <c r="C113" s="19" t="s">
        <v>45</v>
      </c>
    </row>
    <row r="114" spans="1:3" x14ac:dyDescent="0.35">
      <c r="A114" s="17">
        <v>36403</v>
      </c>
      <c r="B114" s="18" t="s">
        <v>9</v>
      </c>
      <c r="C114" s="19" t="s">
        <v>46</v>
      </c>
    </row>
    <row r="115" spans="1:3" x14ac:dyDescent="0.35">
      <c r="A115" s="17">
        <v>36414</v>
      </c>
      <c r="B115" s="18" t="s">
        <v>7</v>
      </c>
      <c r="C115" s="19" t="s">
        <v>45</v>
      </c>
    </row>
    <row r="116" spans="1:3" x14ac:dyDescent="0.35">
      <c r="A116" s="17">
        <v>36422</v>
      </c>
      <c r="B116" s="18" t="s">
        <v>6</v>
      </c>
      <c r="C116" s="19" t="s">
        <v>45</v>
      </c>
    </row>
    <row r="117" spans="1:3" x14ac:dyDescent="0.35">
      <c r="A117" s="17">
        <v>36424</v>
      </c>
      <c r="B117" s="18" t="s">
        <v>8</v>
      </c>
      <c r="C117" s="19" t="s">
        <v>46</v>
      </c>
    </row>
    <row r="118" spans="1:3" x14ac:dyDescent="0.35">
      <c r="A118" s="17">
        <v>36436</v>
      </c>
      <c r="B118" s="18" t="s">
        <v>7</v>
      </c>
      <c r="C118" s="19" t="s">
        <v>45</v>
      </c>
    </row>
    <row r="119" spans="1:3" x14ac:dyDescent="0.35">
      <c r="A119" s="17">
        <v>36436</v>
      </c>
      <c r="B119" s="18" t="s">
        <v>10</v>
      </c>
      <c r="C119" s="19" t="s">
        <v>45</v>
      </c>
    </row>
    <row r="120" spans="1:3" x14ac:dyDescent="0.35">
      <c r="A120" s="17">
        <v>36445</v>
      </c>
      <c r="B120" s="18" t="s">
        <v>9</v>
      </c>
      <c r="C120" s="19" t="s">
        <v>46</v>
      </c>
    </row>
    <row r="121" spans="1:3" x14ac:dyDescent="0.35">
      <c r="A121" s="17">
        <v>36475</v>
      </c>
      <c r="B121" s="18" t="s">
        <v>30</v>
      </c>
      <c r="C121" s="19" t="s">
        <v>45</v>
      </c>
    </row>
    <row r="122" spans="1:3" x14ac:dyDescent="0.35">
      <c r="A122" s="17">
        <v>36493</v>
      </c>
      <c r="B122" s="18" t="s">
        <v>6</v>
      </c>
      <c r="C122" s="19" t="s">
        <v>46</v>
      </c>
    </row>
    <row r="123" spans="1:3" x14ac:dyDescent="0.35">
      <c r="A123" s="17">
        <v>36497</v>
      </c>
      <c r="B123" s="18" t="s">
        <v>8</v>
      </c>
      <c r="C123" s="19" t="s">
        <v>46</v>
      </c>
    </row>
    <row r="124" spans="1:3" x14ac:dyDescent="0.35">
      <c r="A124" s="17">
        <v>36501</v>
      </c>
      <c r="B124" s="18" t="s">
        <v>10</v>
      </c>
      <c r="C124" s="19" t="s">
        <v>45</v>
      </c>
    </row>
    <row r="125" spans="1:3" x14ac:dyDescent="0.35">
      <c r="A125" s="17">
        <v>36510</v>
      </c>
      <c r="B125" s="18" t="s">
        <v>5</v>
      </c>
      <c r="C125" s="19" t="s">
        <v>45</v>
      </c>
    </row>
    <row r="126" spans="1:3" x14ac:dyDescent="0.35">
      <c r="A126" s="17">
        <v>36523</v>
      </c>
      <c r="B126" s="18" t="s">
        <v>31</v>
      </c>
      <c r="C126" s="19" t="s">
        <v>45</v>
      </c>
    </row>
    <row r="127" spans="1:3" x14ac:dyDescent="0.35">
      <c r="A127" s="17">
        <v>36534</v>
      </c>
      <c r="B127" s="18" t="s">
        <v>11</v>
      </c>
      <c r="C127" s="19" t="s">
        <v>45</v>
      </c>
    </row>
    <row r="128" spans="1:3" x14ac:dyDescent="0.35">
      <c r="A128" s="17">
        <v>36535</v>
      </c>
      <c r="B128" s="18" t="s">
        <v>30</v>
      </c>
      <c r="C128" s="19" t="s">
        <v>46</v>
      </c>
    </row>
    <row r="129" spans="1:3" x14ac:dyDescent="0.35">
      <c r="A129" s="17">
        <v>36543</v>
      </c>
      <c r="B129" s="18" t="s">
        <v>5</v>
      </c>
      <c r="C129" s="19" t="s">
        <v>46</v>
      </c>
    </row>
    <row r="130" spans="1:3" x14ac:dyDescent="0.35">
      <c r="A130" s="17">
        <v>36547</v>
      </c>
      <c r="B130" s="18" t="s">
        <v>9</v>
      </c>
      <c r="C130" s="19" t="s">
        <v>45</v>
      </c>
    </row>
    <row r="131" spans="1:3" x14ac:dyDescent="0.35">
      <c r="A131" s="17">
        <v>36557</v>
      </c>
      <c r="B131" s="18" t="s">
        <v>6</v>
      </c>
      <c r="C131" s="19" t="s">
        <v>46</v>
      </c>
    </row>
    <row r="132" spans="1:3" x14ac:dyDescent="0.35">
      <c r="A132" s="17">
        <v>36559</v>
      </c>
      <c r="B132" s="18" t="s">
        <v>12</v>
      </c>
      <c r="C132" s="19" t="s">
        <v>45</v>
      </c>
    </row>
    <row r="133" spans="1:3" x14ac:dyDescent="0.35">
      <c r="A133" s="17">
        <v>36562</v>
      </c>
      <c r="B133" s="18" t="s">
        <v>7</v>
      </c>
      <c r="C133" s="19" t="s">
        <v>46</v>
      </c>
    </row>
    <row r="134" spans="1:3" x14ac:dyDescent="0.35">
      <c r="A134" s="17">
        <v>36563</v>
      </c>
      <c r="B134" s="18" t="s">
        <v>11</v>
      </c>
      <c r="C134" s="19" t="s">
        <v>46</v>
      </c>
    </row>
    <row r="135" spans="1:3" x14ac:dyDescent="0.35">
      <c r="A135" s="17">
        <v>36580</v>
      </c>
      <c r="B135" s="18" t="s">
        <v>10</v>
      </c>
      <c r="C135" s="19" t="s">
        <v>45</v>
      </c>
    </row>
    <row r="136" spans="1:3" x14ac:dyDescent="0.35">
      <c r="A136" s="17">
        <v>36581</v>
      </c>
      <c r="B136" s="18" t="s">
        <v>30</v>
      </c>
      <c r="C136" s="19" t="s">
        <v>45</v>
      </c>
    </row>
    <row r="137" spans="1:3" x14ac:dyDescent="0.35">
      <c r="A137" s="17">
        <v>36605</v>
      </c>
      <c r="B137" s="18" t="s">
        <v>8</v>
      </c>
      <c r="C137" s="19" t="s">
        <v>45</v>
      </c>
    </row>
    <row r="138" spans="1:3" x14ac:dyDescent="0.35">
      <c r="A138" s="17">
        <v>36619</v>
      </c>
      <c r="B138" s="18" t="s">
        <v>11</v>
      </c>
      <c r="C138" s="19" t="s">
        <v>46</v>
      </c>
    </row>
    <row r="139" spans="1:3" x14ac:dyDescent="0.35">
      <c r="A139" s="17">
        <v>36626</v>
      </c>
      <c r="B139" s="18" t="s">
        <v>5</v>
      </c>
      <c r="C139" s="19" t="s">
        <v>45</v>
      </c>
    </row>
    <row r="140" spans="1:3" x14ac:dyDescent="0.35">
      <c r="A140" s="17">
        <v>36631</v>
      </c>
      <c r="B140" s="18" t="s">
        <v>10</v>
      </c>
      <c r="C140" s="19" t="s">
        <v>46</v>
      </c>
    </row>
    <row r="141" spans="1:3" x14ac:dyDescent="0.35">
      <c r="A141" s="17">
        <v>36666</v>
      </c>
      <c r="B141" s="18" t="s">
        <v>5</v>
      </c>
      <c r="C141" s="19" t="s">
        <v>45</v>
      </c>
    </row>
    <row r="142" spans="1:3" x14ac:dyDescent="0.35">
      <c r="A142" s="17">
        <v>36667</v>
      </c>
      <c r="B142" s="18" t="s">
        <v>11</v>
      </c>
      <c r="C142" s="19" t="s">
        <v>46</v>
      </c>
    </row>
    <row r="143" spans="1:3" x14ac:dyDescent="0.35">
      <c r="A143" s="17">
        <v>36668</v>
      </c>
      <c r="B143" s="18" t="s">
        <v>31</v>
      </c>
      <c r="C143" s="19" t="s">
        <v>45</v>
      </c>
    </row>
    <row r="144" spans="1:3" x14ac:dyDescent="0.35">
      <c r="A144" s="17">
        <v>36671</v>
      </c>
      <c r="B144" s="18" t="s">
        <v>5</v>
      </c>
      <c r="C144" s="19" t="s">
        <v>46</v>
      </c>
    </row>
    <row r="145" spans="1:3" x14ac:dyDescent="0.35">
      <c r="A145" s="17">
        <v>36675</v>
      </c>
      <c r="B145" s="18" t="s">
        <v>30</v>
      </c>
      <c r="C145" s="19" t="s">
        <v>46</v>
      </c>
    </row>
    <row r="146" spans="1:3" x14ac:dyDescent="0.35">
      <c r="A146" s="17">
        <v>36685</v>
      </c>
      <c r="B146" s="18" t="s">
        <v>9</v>
      </c>
      <c r="C146" s="19" t="s">
        <v>46</v>
      </c>
    </row>
    <row r="147" spans="1:3" x14ac:dyDescent="0.35">
      <c r="A147" s="17">
        <v>36692</v>
      </c>
      <c r="B147" s="18" t="s">
        <v>8</v>
      </c>
      <c r="C147" s="19" t="s">
        <v>46</v>
      </c>
    </row>
    <row r="148" spans="1:3" x14ac:dyDescent="0.35">
      <c r="A148" s="17">
        <v>36719</v>
      </c>
      <c r="B148" s="18" t="s">
        <v>30</v>
      </c>
      <c r="C148" s="19" t="s">
        <v>45</v>
      </c>
    </row>
    <row r="149" spans="1:3" x14ac:dyDescent="0.35">
      <c r="A149" s="17">
        <v>36733</v>
      </c>
      <c r="B149" s="18" t="s">
        <v>7</v>
      </c>
      <c r="C149" s="19" t="s">
        <v>45</v>
      </c>
    </row>
    <row r="150" spans="1:3" x14ac:dyDescent="0.35">
      <c r="A150" s="17">
        <v>36743</v>
      </c>
      <c r="B150" s="18" t="s">
        <v>6</v>
      </c>
      <c r="C150" s="19" t="s">
        <v>45</v>
      </c>
    </row>
    <row r="151" spans="1:3" x14ac:dyDescent="0.35">
      <c r="A151" s="17">
        <v>36759</v>
      </c>
      <c r="B151" s="18" t="s">
        <v>12</v>
      </c>
      <c r="C151" s="19" t="s">
        <v>45</v>
      </c>
    </row>
    <row r="152" spans="1:3" x14ac:dyDescent="0.35">
      <c r="A152" s="17">
        <v>36763</v>
      </c>
      <c r="B152" s="18" t="s">
        <v>6</v>
      </c>
      <c r="C152" s="19" t="s">
        <v>46</v>
      </c>
    </row>
    <row r="153" spans="1:3" x14ac:dyDescent="0.35">
      <c r="A153" s="17">
        <v>36774</v>
      </c>
      <c r="B153" s="18" t="s">
        <v>10</v>
      </c>
      <c r="C153" s="19" t="s">
        <v>45</v>
      </c>
    </row>
    <row r="154" spans="1:3" x14ac:dyDescent="0.35">
      <c r="A154" s="17">
        <v>36793</v>
      </c>
      <c r="B154" s="18" t="s">
        <v>32</v>
      </c>
      <c r="C154" s="19" t="s">
        <v>46</v>
      </c>
    </row>
    <row r="155" spans="1:3" x14ac:dyDescent="0.35">
      <c r="A155" s="17">
        <v>36798</v>
      </c>
      <c r="B155" s="18" t="s">
        <v>10</v>
      </c>
      <c r="C155" s="19" t="s">
        <v>45</v>
      </c>
    </row>
    <row r="156" spans="1:3" x14ac:dyDescent="0.35">
      <c r="A156" s="17">
        <v>36802</v>
      </c>
      <c r="B156" s="18" t="s">
        <v>11</v>
      </c>
      <c r="C156" s="19" t="s">
        <v>46</v>
      </c>
    </row>
    <row r="157" spans="1:3" x14ac:dyDescent="0.35">
      <c r="A157" s="17">
        <v>36808</v>
      </c>
      <c r="B157" s="18" t="s">
        <v>31</v>
      </c>
      <c r="C157" s="19" t="s">
        <v>45</v>
      </c>
    </row>
    <row r="158" spans="1:3" x14ac:dyDescent="0.35">
      <c r="A158" s="17">
        <v>36810</v>
      </c>
      <c r="B158" s="18" t="s">
        <v>10</v>
      </c>
      <c r="C158" s="19" t="s">
        <v>46</v>
      </c>
    </row>
    <row r="159" spans="1:3" x14ac:dyDescent="0.35">
      <c r="A159" s="17">
        <v>36815</v>
      </c>
      <c r="B159" s="18" t="s">
        <v>30</v>
      </c>
      <c r="C159" s="19" t="s">
        <v>45</v>
      </c>
    </row>
    <row r="160" spans="1:3" x14ac:dyDescent="0.35">
      <c r="A160" s="17">
        <v>36826</v>
      </c>
      <c r="B160" s="18" t="s">
        <v>10</v>
      </c>
      <c r="C160" s="19" t="s">
        <v>45</v>
      </c>
    </row>
    <row r="161" spans="1:3" x14ac:dyDescent="0.35">
      <c r="A161" s="17">
        <v>36833</v>
      </c>
      <c r="B161" s="18" t="s">
        <v>5</v>
      </c>
      <c r="C161" s="19" t="s">
        <v>45</v>
      </c>
    </row>
    <row r="162" spans="1:3" x14ac:dyDescent="0.35">
      <c r="A162" s="17">
        <v>36850</v>
      </c>
      <c r="B162" s="18" t="s">
        <v>31</v>
      </c>
      <c r="C162" s="19" t="s">
        <v>45</v>
      </c>
    </row>
    <row r="163" spans="1:3" x14ac:dyDescent="0.35">
      <c r="A163" s="17">
        <v>36851</v>
      </c>
      <c r="B163" s="18" t="s">
        <v>9</v>
      </c>
      <c r="C163" s="19" t="s">
        <v>46</v>
      </c>
    </row>
    <row r="164" spans="1:3" x14ac:dyDescent="0.35">
      <c r="A164" s="17">
        <v>36867</v>
      </c>
      <c r="B164" s="18" t="s">
        <v>6</v>
      </c>
      <c r="C164" s="19" t="s">
        <v>45</v>
      </c>
    </row>
    <row r="165" spans="1:3" x14ac:dyDescent="0.35">
      <c r="A165" s="17">
        <v>36880</v>
      </c>
      <c r="B165" s="18" t="s">
        <v>32</v>
      </c>
      <c r="C165" s="19" t="s">
        <v>46</v>
      </c>
    </row>
    <row r="166" spans="1:3" x14ac:dyDescent="0.35">
      <c r="A166" s="17">
        <v>36893</v>
      </c>
      <c r="B166" s="18" t="s">
        <v>32</v>
      </c>
      <c r="C166" s="19" t="s">
        <v>45</v>
      </c>
    </row>
    <row r="167" spans="1:3" x14ac:dyDescent="0.35">
      <c r="A167" s="17">
        <v>36899</v>
      </c>
      <c r="B167" s="18" t="s">
        <v>6</v>
      </c>
      <c r="C167" s="19" t="s">
        <v>46</v>
      </c>
    </row>
    <row r="168" spans="1:3" x14ac:dyDescent="0.35">
      <c r="A168" s="17">
        <v>36911</v>
      </c>
      <c r="B168" s="18" t="s">
        <v>7</v>
      </c>
      <c r="C168" s="19" t="s">
        <v>46</v>
      </c>
    </row>
    <row r="169" spans="1:3" x14ac:dyDescent="0.35">
      <c r="A169" s="17">
        <v>36926</v>
      </c>
      <c r="B169" s="18" t="s">
        <v>30</v>
      </c>
      <c r="C169" s="19" t="s">
        <v>45</v>
      </c>
    </row>
    <row r="170" spans="1:3" x14ac:dyDescent="0.35">
      <c r="A170" s="17">
        <v>36929</v>
      </c>
      <c r="B170" s="18" t="s">
        <v>32</v>
      </c>
      <c r="C170" s="19" t="s">
        <v>45</v>
      </c>
    </row>
    <row r="171" spans="1:3" x14ac:dyDescent="0.35">
      <c r="A171" s="17">
        <v>36935</v>
      </c>
      <c r="B171" s="18" t="s">
        <v>11</v>
      </c>
      <c r="C171" s="19" t="s">
        <v>46</v>
      </c>
    </row>
    <row r="172" spans="1:3" x14ac:dyDescent="0.35">
      <c r="A172" s="17">
        <v>36953</v>
      </c>
      <c r="B172" s="18" t="s">
        <v>10</v>
      </c>
      <c r="C172" s="19" t="s">
        <v>46</v>
      </c>
    </row>
    <row r="173" spans="1:3" x14ac:dyDescent="0.35">
      <c r="A173" s="17">
        <v>36962</v>
      </c>
      <c r="B173" s="18" t="s">
        <v>11</v>
      </c>
      <c r="C173" s="19" t="s">
        <v>45</v>
      </c>
    </row>
    <row r="174" spans="1:3" x14ac:dyDescent="0.35">
      <c r="A174" s="17">
        <v>36971</v>
      </c>
      <c r="B174" s="18" t="s">
        <v>31</v>
      </c>
      <c r="C174" s="19" t="s">
        <v>46</v>
      </c>
    </row>
    <row r="175" spans="1:3" x14ac:dyDescent="0.35">
      <c r="A175" s="17">
        <v>36975</v>
      </c>
      <c r="B175" s="18" t="s">
        <v>30</v>
      </c>
      <c r="C175" s="19" t="s">
        <v>45</v>
      </c>
    </row>
    <row r="176" spans="1:3" x14ac:dyDescent="0.35">
      <c r="A176" s="17">
        <v>36983</v>
      </c>
      <c r="B176" s="18" t="s">
        <v>9</v>
      </c>
      <c r="C176" s="19" t="s">
        <v>45</v>
      </c>
    </row>
    <row r="177" spans="1:3" x14ac:dyDescent="0.35">
      <c r="A177" s="17">
        <v>36986</v>
      </c>
      <c r="B177" s="18" t="s">
        <v>30</v>
      </c>
      <c r="C177" s="19" t="s">
        <v>46</v>
      </c>
    </row>
    <row r="178" spans="1:3" x14ac:dyDescent="0.35">
      <c r="A178" s="17">
        <v>36988</v>
      </c>
      <c r="B178" s="18" t="s">
        <v>10</v>
      </c>
      <c r="C178" s="19" t="s">
        <v>45</v>
      </c>
    </row>
    <row r="179" spans="1:3" x14ac:dyDescent="0.35">
      <c r="A179" s="17">
        <v>36999</v>
      </c>
      <c r="B179" s="18" t="s">
        <v>9</v>
      </c>
      <c r="C179" s="19" t="s">
        <v>45</v>
      </c>
    </row>
    <row r="180" spans="1:3" x14ac:dyDescent="0.35">
      <c r="A180" s="17">
        <v>37018</v>
      </c>
      <c r="B180" s="18" t="s">
        <v>5</v>
      </c>
      <c r="C180" s="19" t="s">
        <v>46</v>
      </c>
    </row>
    <row r="181" spans="1:3" x14ac:dyDescent="0.35">
      <c r="A181" s="17">
        <v>37019</v>
      </c>
      <c r="B181" s="18" t="s">
        <v>10</v>
      </c>
      <c r="C181" s="19" t="s">
        <v>45</v>
      </c>
    </row>
    <row r="182" spans="1:3" x14ac:dyDescent="0.35">
      <c r="A182" s="17">
        <v>37022</v>
      </c>
      <c r="B182" s="18" t="s">
        <v>11</v>
      </c>
      <c r="C182" s="19" t="s">
        <v>45</v>
      </c>
    </row>
    <row r="183" spans="1:3" x14ac:dyDescent="0.35">
      <c r="A183" s="17">
        <v>37048</v>
      </c>
      <c r="B183" s="18" t="s">
        <v>32</v>
      </c>
      <c r="C183" s="19" t="s">
        <v>45</v>
      </c>
    </row>
    <row r="184" spans="1:3" x14ac:dyDescent="0.35">
      <c r="A184" s="17">
        <v>37052</v>
      </c>
      <c r="B184" s="18" t="s">
        <v>7</v>
      </c>
      <c r="C184" s="19" t="s">
        <v>46</v>
      </c>
    </row>
    <row r="185" spans="1:3" x14ac:dyDescent="0.35">
      <c r="A185" s="17">
        <v>37063</v>
      </c>
      <c r="B185" s="18" t="s">
        <v>9</v>
      </c>
      <c r="C185" s="19" t="s">
        <v>45</v>
      </c>
    </row>
    <row r="186" spans="1:3" x14ac:dyDescent="0.35">
      <c r="A186" s="17">
        <v>37064</v>
      </c>
      <c r="B186" s="18" t="s">
        <v>9</v>
      </c>
      <c r="C186" s="19" t="s">
        <v>46</v>
      </c>
    </row>
    <row r="187" spans="1:3" x14ac:dyDescent="0.35">
      <c r="A187" s="17">
        <v>37070</v>
      </c>
      <c r="B187" s="18" t="s">
        <v>9</v>
      </c>
      <c r="C187" s="19" t="s">
        <v>46</v>
      </c>
    </row>
    <row r="188" spans="1:3" x14ac:dyDescent="0.35">
      <c r="A188" s="17">
        <v>37077</v>
      </c>
      <c r="B188" s="18" t="s">
        <v>30</v>
      </c>
      <c r="C188" s="19" t="s">
        <v>46</v>
      </c>
    </row>
    <row r="189" spans="1:3" x14ac:dyDescent="0.35">
      <c r="A189" s="17">
        <v>37082</v>
      </c>
      <c r="B189" s="18" t="s">
        <v>32</v>
      </c>
      <c r="C189" s="19" t="s">
        <v>45</v>
      </c>
    </row>
    <row r="190" spans="1:3" x14ac:dyDescent="0.35">
      <c r="A190" s="17">
        <v>37087</v>
      </c>
      <c r="B190" s="18" t="s">
        <v>5</v>
      </c>
      <c r="C190" s="19" t="s">
        <v>46</v>
      </c>
    </row>
    <row r="191" spans="1:3" x14ac:dyDescent="0.35">
      <c r="A191" s="17">
        <v>37092</v>
      </c>
      <c r="B191" s="18" t="s">
        <v>10</v>
      </c>
      <c r="C191" s="19" t="s">
        <v>45</v>
      </c>
    </row>
    <row r="192" spans="1:3" x14ac:dyDescent="0.35">
      <c r="A192" s="17">
        <v>37092</v>
      </c>
      <c r="B192" s="18" t="s">
        <v>5</v>
      </c>
      <c r="C192" s="19" t="s">
        <v>46</v>
      </c>
    </row>
    <row r="193" spans="1:3" x14ac:dyDescent="0.35">
      <c r="A193" s="17">
        <v>37097</v>
      </c>
      <c r="B193" s="18" t="s">
        <v>8</v>
      </c>
      <c r="C193" s="19" t="s">
        <v>45</v>
      </c>
    </row>
    <row r="194" spans="1:3" x14ac:dyDescent="0.35">
      <c r="A194" s="17">
        <v>37100</v>
      </c>
      <c r="B194" s="18" t="s">
        <v>30</v>
      </c>
      <c r="C194" s="19" t="s">
        <v>45</v>
      </c>
    </row>
    <row r="195" spans="1:3" x14ac:dyDescent="0.35">
      <c r="A195" s="17">
        <v>37102</v>
      </c>
      <c r="B195" s="18" t="s">
        <v>8</v>
      </c>
      <c r="C195" s="19" t="s">
        <v>45</v>
      </c>
    </row>
    <row r="196" spans="1:3" x14ac:dyDescent="0.35">
      <c r="A196" s="17">
        <v>37137</v>
      </c>
      <c r="B196" s="18" t="s">
        <v>9</v>
      </c>
      <c r="C196" s="19" t="s">
        <v>45</v>
      </c>
    </row>
    <row r="197" spans="1:3" x14ac:dyDescent="0.35">
      <c r="A197" s="17">
        <v>37140</v>
      </c>
      <c r="B197" s="18" t="s">
        <v>11</v>
      </c>
      <c r="C197" s="19" t="s">
        <v>45</v>
      </c>
    </row>
    <row r="198" spans="1:3" x14ac:dyDescent="0.35">
      <c r="A198" s="17">
        <v>37148</v>
      </c>
      <c r="B198" s="18" t="s">
        <v>11</v>
      </c>
      <c r="C198" s="19" t="s">
        <v>46</v>
      </c>
    </row>
    <row r="199" spans="1:3" x14ac:dyDescent="0.35">
      <c r="A199" s="17">
        <v>37157</v>
      </c>
      <c r="B199" s="18" t="s">
        <v>9</v>
      </c>
      <c r="C199" s="19" t="s">
        <v>45</v>
      </c>
    </row>
    <row r="200" spans="1:3" x14ac:dyDescent="0.35">
      <c r="A200" s="17">
        <v>37158</v>
      </c>
      <c r="B200" s="18" t="s">
        <v>32</v>
      </c>
      <c r="C200" s="19" t="s">
        <v>46</v>
      </c>
    </row>
    <row r="201" spans="1:3" x14ac:dyDescent="0.35">
      <c r="A201" s="17">
        <v>37161</v>
      </c>
      <c r="B201" s="18" t="s">
        <v>7</v>
      </c>
      <c r="C201" s="19" t="s">
        <v>45</v>
      </c>
    </row>
    <row r="202" spans="1:3" x14ac:dyDescent="0.35">
      <c r="A202" s="17">
        <v>37163</v>
      </c>
      <c r="B202" s="18" t="s">
        <v>12</v>
      </c>
      <c r="C202" s="19" t="s">
        <v>45</v>
      </c>
    </row>
    <row r="203" spans="1:3" x14ac:dyDescent="0.35">
      <c r="A203" s="17">
        <v>37189</v>
      </c>
      <c r="B203" s="18" t="s">
        <v>32</v>
      </c>
      <c r="C203" s="19" t="s">
        <v>45</v>
      </c>
    </row>
    <row r="204" spans="1:3" x14ac:dyDescent="0.35">
      <c r="A204" s="17">
        <v>37194</v>
      </c>
      <c r="B204" s="18" t="s">
        <v>30</v>
      </c>
      <c r="C204" s="19" t="s">
        <v>46</v>
      </c>
    </row>
    <row r="205" spans="1:3" x14ac:dyDescent="0.35">
      <c r="A205" s="17">
        <v>37208</v>
      </c>
      <c r="B205" s="18" t="s">
        <v>11</v>
      </c>
      <c r="C205" s="19" t="s">
        <v>46</v>
      </c>
    </row>
    <row r="206" spans="1:3" x14ac:dyDescent="0.35">
      <c r="A206" s="17">
        <v>37228</v>
      </c>
      <c r="B206" s="18" t="s">
        <v>32</v>
      </c>
      <c r="C206" s="19" t="s">
        <v>46</v>
      </c>
    </row>
    <row r="207" spans="1:3" x14ac:dyDescent="0.35">
      <c r="A207" s="17">
        <v>37238</v>
      </c>
      <c r="B207" s="18" t="s">
        <v>6</v>
      </c>
      <c r="C207" s="19" t="s">
        <v>45</v>
      </c>
    </row>
    <row r="208" spans="1:3" x14ac:dyDescent="0.35">
      <c r="A208" s="17">
        <v>37239</v>
      </c>
      <c r="B208" s="18" t="s">
        <v>12</v>
      </c>
      <c r="C208" s="19" t="s">
        <v>45</v>
      </c>
    </row>
    <row r="209" spans="1:3" x14ac:dyDescent="0.35">
      <c r="A209" s="17">
        <v>37252</v>
      </c>
      <c r="B209" s="18" t="s">
        <v>11</v>
      </c>
      <c r="C209" s="19" t="s">
        <v>46</v>
      </c>
    </row>
    <row r="210" spans="1:3" x14ac:dyDescent="0.35">
      <c r="A210" s="17">
        <v>37255</v>
      </c>
      <c r="B210" s="18" t="s">
        <v>10</v>
      </c>
      <c r="C210" s="19" t="s">
        <v>45</v>
      </c>
    </row>
  </sheetData>
  <sheetProtection sheet="1" objects="1" scenarios="1"/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_Input">
                <anchor moveWithCells="1" sizeWithCells="1">
                  <from>
                    <xdr:col>3</xdr:col>
                    <xdr:colOff>95250</xdr:colOff>
                    <xdr:row>0</xdr:row>
                    <xdr:rowOff>95250</xdr:rowOff>
                  </from>
                  <to>
                    <xdr:col>4</xdr:col>
                    <xdr:colOff>685800</xdr:colOff>
                    <xdr:row>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Erfassung</vt:lpstr>
      <vt:lpstr>Art-Bereich-Tage</vt:lpstr>
      <vt:lpstr>Liste</vt:lpstr>
      <vt:lpstr>Ausfalltage</vt:lpstr>
    </vt:vector>
  </TitlesOfParts>
  <Company>SW Media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Henryk Wyrwich</dc:creator>
  <cp:lastModifiedBy>Andreas Staerkert</cp:lastModifiedBy>
  <dcterms:created xsi:type="dcterms:W3CDTF">1999-09-23T13:01:52Z</dcterms:created>
  <dcterms:modified xsi:type="dcterms:W3CDTF">2024-03-08T20:50:40Z</dcterms:modified>
</cp:coreProperties>
</file>