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r\1\y\OK\"/>
    </mc:Choice>
  </mc:AlternateContent>
  <xr:revisionPtr revIDLastSave="0" documentId="13_ncr:1_{EF71A6A3-21FD-4C4B-BCE2-6B1BC8491691}" xr6:coauthVersionLast="47" xr6:coauthVersionMax="47" xr10:uidLastSave="{00000000-0000-0000-0000-000000000000}"/>
  <bookViews>
    <workbookView xWindow="1927" yWindow="645" windowWidth="26356" windowHeight="13875" xr2:uid="{00000000-000D-0000-FFFF-FFFF00000000}"/>
  </bookViews>
  <sheets>
    <sheet name="Erfassung" sheetId="1" r:id="rId1"/>
    <sheet name="Art-Bereich-Tage" sheetId="2" r:id="rId2"/>
    <sheet name="Liste" sheetId="3" state="hidden" r:id="rId3"/>
    <sheet name="Unfallart" sheetId="4" state="hidden" r:id="rId4"/>
    <sheet name="Ausfalltage" sheetId="5" state="hidden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L3" i="3"/>
  <c r="M3" i="3"/>
  <c r="M8" i="3"/>
  <c r="N3" i="3"/>
  <c r="N8" i="3"/>
  <c r="L4" i="3"/>
  <c r="M4" i="3"/>
  <c r="N4" i="3"/>
  <c r="L5" i="3"/>
  <c r="M5" i="3"/>
  <c r="N5" i="3"/>
  <c r="L6" i="3"/>
  <c r="M6" i="3"/>
  <c r="N6" i="3"/>
  <c r="L7" i="3"/>
  <c r="L8" i="3"/>
  <c r="O8" i="3"/>
  <c r="M7" i="3"/>
  <c r="N7" i="3"/>
  <c r="L16" i="3"/>
  <c r="M16" i="3"/>
  <c r="N16" i="3"/>
  <c r="N27" i="3"/>
  <c r="L17" i="3"/>
  <c r="L27" i="3"/>
  <c r="O27" i="3"/>
  <c r="M17" i="3"/>
  <c r="N17" i="3"/>
  <c r="L18" i="3"/>
  <c r="M18" i="3"/>
  <c r="M27" i="3"/>
  <c r="N18" i="3"/>
  <c r="L19" i="3"/>
  <c r="M19" i="3"/>
  <c r="N19" i="3"/>
  <c r="L20" i="3"/>
  <c r="M20" i="3"/>
  <c r="N20" i="3"/>
  <c r="L21" i="3"/>
  <c r="M21" i="3"/>
  <c r="N21" i="3"/>
  <c r="L22" i="3"/>
  <c r="M22" i="3"/>
  <c r="N22" i="3"/>
  <c r="L23" i="3"/>
  <c r="M23" i="3"/>
  <c r="N23" i="3"/>
  <c r="L24" i="3"/>
  <c r="M24" i="3"/>
  <c r="N24" i="3"/>
  <c r="L25" i="3"/>
  <c r="M25" i="3"/>
  <c r="N25" i="3"/>
  <c r="L26" i="3"/>
  <c r="M26" i="3"/>
  <c r="N26" i="3"/>
</calcChain>
</file>

<file path=xl/sharedStrings.xml><?xml version="1.0" encoding="utf-8"?>
<sst xmlns="http://schemas.openxmlformats.org/spreadsheetml/2006/main" count="64" uniqueCount="46">
  <si>
    <t>Datum</t>
  </si>
  <si>
    <t>Ausfalltage</t>
  </si>
  <si>
    <t>Beitriebsbereich</t>
  </si>
  <si>
    <t>Unfallart</t>
  </si>
  <si>
    <t>Verwaltung</t>
  </si>
  <si>
    <t>über 6 Wochen</t>
  </si>
  <si>
    <t>1 Tag</t>
  </si>
  <si>
    <t>2 Tage</t>
  </si>
  <si>
    <t>3 Tage</t>
  </si>
  <si>
    <t>4 Tage</t>
  </si>
  <si>
    <t>5 Tage</t>
  </si>
  <si>
    <t>6 Tage</t>
  </si>
  <si>
    <t>7 Tage</t>
  </si>
  <si>
    <t>Datum:</t>
  </si>
  <si>
    <t>Ausfalltage:</t>
  </si>
  <si>
    <t>Tag</t>
  </si>
  <si>
    <t>Monat</t>
  </si>
  <si>
    <t>Jahr</t>
  </si>
  <si>
    <t>Januar</t>
  </si>
  <si>
    <t>Februar</t>
  </si>
  <si>
    <t>März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</si>
  <si>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</si>
  <si>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</si>
  <si>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</si>
  <si>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</si>
  <si>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</si>
  <si>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</si>
  <si>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</si>
  <si>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</si>
  <si>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</si>
  <si>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8 bis 14 Tage</t>
  </si>
  <si>
    <t>15 bis 30 Tage</t>
  </si>
  <si>
    <t>31-42 Tage</t>
  </si>
  <si>
    <t>Bauhof</t>
  </si>
  <si>
    <t>Fuhrpark</t>
  </si>
  <si>
    <t>Baustelle</t>
  </si>
  <si>
    <t>Gefahrstoffe</t>
  </si>
  <si>
    <t>nein</t>
  </si>
  <si>
    <t>ja</t>
  </si>
  <si>
    <t>toedlich</t>
  </si>
  <si>
    <t>Erfassung der betrieblichen BK-Verdachtsanzeigen</t>
  </si>
  <si>
    <t>Erkrankungsursache:</t>
  </si>
  <si>
    <t>Lärm</t>
  </si>
  <si>
    <t>Vibration</t>
  </si>
  <si>
    <t>Körperliche Überlastung</t>
  </si>
  <si>
    <t>Infektionen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</si>
</sst>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name val="Arial"/>
    </font>
    <font>
      <b/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1"/>
      <color indexed="18"/>
      <name val="Arial"/>
      <family val="2"/>
    </font>
    <font>
      <sz val="11"/>
      <color indexed="18"/>
      <name val="Arial"/>
      <family val="2"/>
    </font>
    <font>
      <b/>
      <sz val="8"/>
      <color indexed="18"/>
      <name val="Arial"/>
      <family val="2"/>
    </font>
    <font>
      <b/>
      <sz val="14"/>
      <color indexed="18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right"/>
    </xf>
    <xf numFmtId="0" fontId="4" fillId="0" borderId="0" xfId="0" applyFont="1"/>
    <xf numFmtId="0" fontId="3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3" fillId="2" borderId="0" xfId="0" applyFont="1" applyFill="1"/>
    <xf numFmtId="14" fontId="0" fillId="0" borderId="0" xfId="0" applyNumberFormat="1"/>
    <xf numFmtId="0" fontId="0" fillId="0" borderId="0" xfId="0" quotePrefix="1"/>
    <xf numFmtId="0" fontId="1" fillId="0" borderId="1" xfId="0" applyFont="1" applyBorder="1"/>
    <xf numFmtId="14" fontId="0" fillId="0" borderId="2" xfId="0" applyNumberFormat="1" applyBorder="1"/>
    <xf numFmtId="0" fontId="3" fillId="0" borderId="3" xfId="0" applyFont="1" applyBorder="1"/>
    <xf numFmtId="0" fontId="0" fillId="0" borderId="4" xfId="0" applyBorder="1"/>
    <xf numFmtId="0" fontId="3" fillId="0" borderId="5" xfId="0" applyFont="1" applyBorder="1"/>
    <xf numFmtId="0" fontId="0" fillId="0" borderId="6" xfId="0" applyBorder="1"/>
    <xf numFmtId="0" fontId="0" fillId="3" borderId="0" xfId="0" applyFill="1"/>
    <xf numFmtId="14" fontId="0" fillId="3" borderId="0" xfId="0" applyNumberFormat="1" applyFill="1"/>
    <xf numFmtId="2" fontId="2" fillId="0" borderId="0" xfId="0" applyNumberFormat="1" applyFont="1"/>
    <xf numFmtId="0" fontId="1" fillId="0" borderId="0" xfId="0" applyFont="1"/>
    <xf numFmtId="14" fontId="0" fillId="0" borderId="2" xfId="0" applyNumberFormat="1" applyBorder="1" applyProtection="1">
      <protection locked="0"/>
    </xf>
    <xf numFmtId="0" fontId="0" fillId="0" borderId="6" xfId="0" applyBorder="1" applyProtection="1">
      <protection locked="0"/>
    </xf>
    <xf numFmtId="0" fontId="0" fillId="0" borderId="4" xfId="0" applyBorder="1" applyProtection="1">
      <protection locked="0"/>
    </xf>
    <xf numFmtId="0" fontId="1" fillId="0" borderId="0" xfId="0" applyFont="1" applyProtection="1">
      <protection locked="0"/>
    </xf>
    <xf numFmtId="0" fontId="0" fillId="0" borderId="0" xfId="0" applyProtection="1">
      <protection locked="0"/>
    </xf>
    <xf numFmtId="0" fontId="3" fillId="2" borderId="0" xfId="0" applyFont="1" applyFill="1" applyAlignment="1">
      <alignment horizontal="left"/>
    </xf>
    <xf numFmtId="0" fontId="7" fillId="0" borderId="0" xfId="0" applyFont="1" applyAlignment="1">
      <alignment horizontal="right"/>
    </xf>
    <xf numFmtId="0" fontId="6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0" fontId="9" fillId="0" borderId="0" xfId="0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2.xml"/><Relationship Id="rId10" Type="http://schemas.microsoft.com/office/2006/relationships/vbaProject" Target="vbaProject.bin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Auswertung der Erkrankungsursachen</a:t>
            </a:r>
          </a:p>
        </c:rich>
      </c:tx>
      <c:layout>
        <c:manualLayout>
          <c:xMode val="edge"/>
          <c:yMode val="edge"/>
          <c:x val="0.35625003078994688"/>
          <c:y val="2.0236043129743916E-2"/>
        </c:manualLayout>
      </c:layout>
      <c:overlay val="0"/>
      <c:spPr>
        <a:noFill/>
        <a:ln w="25400">
          <a:noFill/>
        </a:ln>
      </c:spPr>
    </c:title>
    <c:autoTitleDeleted val="0"/>
    <c:view3D>
      <c:rotX val="10"/>
      <c:hPercent val="52"/>
      <c:rotY val="20"/>
      <c:depthPercent val="100"/>
      <c:rAngAx val="1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3.8541666666666669E-2"/>
          <c:y val="0.1045531197301855"/>
          <c:w val="0.95104166666666667"/>
          <c:h val="0.77403035413153454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Liste!$L$2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Liste!$K$3:$K$7</c:f>
              <c:strCache>
                <c:ptCount val="5"/>
                <c:pt idx="0">
                  <c:v>Lärm</c:v>
                </c:pt>
                <c:pt idx="1">
                  <c:v>Vibration</c:v>
                </c:pt>
                <c:pt idx="2">
                  <c:v>Körperliche Überlastung</c:v>
                </c:pt>
                <c:pt idx="3">
                  <c:v>Gefahrstoffe</c:v>
                </c:pt>
                <c:pt idx="4">
                  <c:v>Infektionen</c:v>
                </c:pt>
              </c:strCache>
            </c:strRef>
          </c:cat>
          <c:val>
            <c:numRef>
              <c:f>Liste!$L$3:$L$7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B-444B-A6FA-9A73CCAABE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35728656"/>
        <c:axId val="1"/>
        <c:axId val="0"/>
      </c:bar3DChart>
      <c:catAx>
        <c:axId val="635728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63572865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44681965849159366"/>
          <c:y val="0.95608108108108103"/>
          <c:w val="5.2659074549987805E-2"/>
          <c:h val="3.885135135135131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Auswertung der Erkrankungen - Ausfalltage</a:t>
            </a:r>
          </a:p>
        </c:rich>
      </c:tx>
      <c:layout>
        <c:manualLayout>
          <c:xMode val="edge"/>
          <c:yMode val="edge"/>
          <c:x val="0.33854162390285159"/>
          <c:y val="2.0236043129743916E-2"/>
        </c:manualLayout>
      </c:layout>
      <c:overlay val="0"/>
      <c:spPr>
        <a:noFill/>
        <a:ln w="25400">
          <a:noFill/>
        </a:ln>
      </c:spPr>
    </c:title>
    <c:autoTitleDeleted val="0"/>
    <c:view3D>
      <c:rotX val="10"/>
      <c:hPercent val="52"/>
      <c:rotY val="20"/>
      <c:depthPercent val="100"/>
      <c:rAngAx val="1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3.8541666666666669E-2"/>
          <c:y val="0.1045531197301855"/>
          <c:w val="0.95104166666666667"/>
          <c:h val="0.74873524451939288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Liste!$L$15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Liste!$K$16:$K$26</c:f>
              <c:strCache>
                <c:ptCount val="11"/>
                <c:pt idx="0">
                  <c:v>1 Tag</c:v>
                </c:pt>
                <c:pt idx="1">
                  <c:v>2 Tage</c:v>
                </c:pt>
                <c:pt idx="2">
                  <c:v>3 Tage</c:v>
                </c:pt>
                <c:pt idx="3">
                  <c:v>4 Tage</c:v>
                </c:pt>
                <c:pt idx="4">
                  <c:v>5 Tage</c:v>
                </c:pt>
                <c:pt idx="5">
                  <c:v>6 Tage</c:v>
                </c:pt>
                <c:pt idx="6">
                  <c:v>7 Tage</c:v>
                </c:pt>
                <c:pt idx="7">
                  <c:v>8 bis 14 Tage</c:v>
                </c:pt>
                <c:pt idx="8">
                  <c:v>15 bis 30 Tage</c:v>
                </c:pt>
                <c:pt idx="9">
                  <c:v>31-42 Tage</c:v>
                </c:pt>
                <c:pt idx="10">
                  <c:v>über 6 Wochen</c:v>
                </c:pt>
              </c:strCache>
            </c:strRef>
          </c:cat>
          <c:val>
            <c:numRef>
              <c:f>Liste!$L$16:$L$26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A7-44F5-B741-55DF453B9D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33368928"/>
        <c:axId val="1"/>
        <c:axId val="0"/>
      </c:bar3DChart>
      <c:catAx>
        <c:axId val="633368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63336892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44681965849159366"/>
          <c:y val="0.95608108108108103"/>
          <c:w val="5.2659074549987805E-2"/>
          <c:h val="3.885135135135131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Diagramm1"/>
  <sheetViews>
    <sheetView workbookViewId="0"/>
  </sheetView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</chartsheet>
</file>

<file path=xl/chartsheets/sheet2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Diagramm2"/>
  <sheetViews>
    <sheetView workbookViewId="0"/>
  </sheetViews>
  <pageMargins left="0.78740157499999996" right="0.78740157499999996" top="0.984251969" bottom="0.984251969" header="0.4921259845" footer="0.4921259845"/>
  <headerFooter alignWithMargins="0"/>
  <drawing r:id="rId1"/>
  <legacyDrawing r:id="rId2"/>
</chartsheet>
</file>

<file path=xl/ctrlProps/ctrlProp1.xml><?xml version="1.0" encoding="utf-8"?>
<formControlPr xmlns="http://schemas.microsoft.com/office/spreadsheetml/2009/9/main" objectType="Drop" dropLines="7" dropStyle="combo" dx="39" fmlaLink="'Art-Bereich-Tage'!$H$2" fmlaRange="'Art-Bereich-Tage'!$A$2:$A$6" noThreeD="1" sel="0" val="0"/>
</file>

<file path=xl/ctrlProps/ctrlProp2.xml><?xml version="1.0" encoding="utf-8"?>
<formControlPr xmlns="http://schemas.microsoft.com/office/spreadsheetml/2009/9/main" objectType="Drop" dropLines="7" dropStyle="combo" dx="39" fmlaLink="'Art-Bereich-Tage'!$H$3" fmlaRange="'Art-Bereich-Tage'!$B$2:$B$12" noThreeD="1" sel="0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10" dropStyle="combo" dx="39" fmlaRange="'Art-Bereich-Tage'!$D$2:$D$32" noThreeD="1" sel="8" val="4"/>
</file>

<file path=xl/ctrlProps/ctrlProp5.xml><?xml version="1.0" encoding="utf-8"?>
<formControlPr xmlns="http://schemas.microsoft.com/office/spreadsheetml/2009/9/main" objectType="Drop" dropStyle="combo" dx="39" fmlaRange="'Art-Bereich-Tage'!$E$2:$E$13" noThreeD="1" sel="3" val="4"/>
</file>

<file path=xl/ctrlProps/ctrlProp6.xml><?xml version="1.0" encoding="utf-8"?>
<formControlPr xmlns="http://schemas.microsoft.com/office/spreadsheetml/2009/9/main" objectType="Drop" dropLines="10" dropStyle="combo" dx="39" fmlaRange="'Art-Bereich-Tage'!$F$2:$F$51" noThreeD="1" sel="45" val="4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166688</xdr:rowOff>
        </xdr:from>
        <xdr:to>
          <xdr:col>3</xdr:col>
          <xdr:colOff>19050</xdr:colOff>
          <xdr:row>5</xdr:row>
          <xdr:rowOff>0</xdr:rowOff>
        </xdr:to>
        <xdr:sp macro="" textlink="">
          <xdr:nvSpPr>
            <xdr:cNvPr id="1026" name="Unfalla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3</xdr:col>
          <xdr:colOff>19050</xdr:colOff>
          <xdr:row>7</xdr:row>
          <xdr:rowOff>9525</xdr:rowOff>
        </xdr:to>
        <xdr:sp macro="" textlink="">
          <xdr:nvSpPr>
            <xdr:cNvPr id="1027" name="Ausfalltag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19050</xdr:colOff>
          <xdr:row>9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Daten 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2</xdr:col>
          <xdr:colOff>490538</xdr:colOff>
          <xdr:row>3</xdr:row>
          <xdr:rowOff>9525</xdr:rowOff>
        </xdr:to>
        <xdr:sp macro="" textlink="">
          <xdr:nvSpPr>
            <xdr:cNvPr id="1031" name="Tag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490538</xdr:colOff>
          <xdr:row>2</xdr:row>
          <xdr:rowOff>0</xdr:rowOff>
        </xdr:from>
        <xdr:to>
          <xdr:col>2</xdr:col>
          <xdr:colOff>1528763</xdr:colOff>
          <xdr:row>3</xdr:row>
          <xdr:rowOff>9525</xdr:rowOff>
        </xdr:to>
        <xdr:sp macro="" textlink="">
          <xdr:nvSpPr>
            <xdr:cNvPr id="1034" name="Monat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1528763</xdr:colOff>
          <xdr:row>2</xdr:row>
          <xdr:rowOff>0</xdr:rowOff>
        </xdr:from>
        <xdr:to>
          <xdr:col>3</xdr:col>
          <xdr:colOff>9525</xdr:colOff>
          <xdr:row>3</xdr:row>
          <xdr:rowOff>9525</xdr:rowOff>
        </xdr:to>
        <xdr:sp macro="" textlink="">
          <xdr:nvSpPr>
            <xdr:cNvPr id="1035" name="Jah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171450</xdr:rowOff>
        </xdr:from>
        <xdr:to>
          <xdr:col>3</xdr:col>
          <xdr:colOff>28575</xdr:colOff>
          <xdr:row>11</xdr:row>
          <xdr:rowOff>47625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gespeicherte Daten zeigen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152400</xdr:rowOff>
        </xdr:from>
        <xdr:to>
          <xdr:col>3</xdr:col>
          <xdr:colOff>28575</xdr:colOff>
          <xdr:row>13</xdr:row>
          <xdr:rowOff>28575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Diagramm: Erkrankungsursachen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13</xdr:row>
          <xdr:rowOff>133350</xdr:rowOff>
        </xdr:from>
        <xdr:to>
          <xdr:col>3</xdr:col>
          <xdr:colOff>28575</xdr:colOff>
          <xdr:row>15</xdr:row>
          <xdr:rowOff>9525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Diagramm: Ausfalltage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100013</xdr:colOff>
          <xdr:row>0</xdr:row>
          <xdr:rowOff>95250</xdr:rowOff>
        </xdr:from>
        <xdr:to>
          <xdr:col>4</xdr:col>
          <xdr:colOff>685800</xdr:colOff>
          <xdr:row>2</xdr:row>
          <xdr:rowOff>109538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zur Eingabe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139238" cy="5648325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5A8065C6-06A4-DD2E-108F-DB809CA3503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0.266</cdr:x>
      <cdr:y>0.93977</cdr:y>
    </cdr:from>
    <cdr:to>
      <cdr:x>0.2784</cdr:x>
      <cdr:y>0.978</cdr:y>
    </cdr:to>
    <cdr:sp macro="" textlink="Liste!$O$8">
      <cdr:nvSpPr>
        <cdr:cNvPr id="4098" name="Text Box 2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2429770" y="5299174"/>
          <a:ext cx="113301" cy="21557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txBody>
        <a:bodyPr xmlns:a="http://schemas.openxmlformats.org/drawingml/2006/main" wrap="none" lIns="27432" tIns="0" rIns="0" bIns="27432" anchor="b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fld id="{303CD6D6-282F-45C0-872C-0D37EC5DBC69}" type="TxLink">
            <a:rPr lang="de-DE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0</a:t>
          </a:fld>
          <a:endParaRPr lang="de-DE"/>
        </a:p>
      </cdr:txBody>
    </cdr:sp>
  </cdr:relSizeAnchor>
  <cdr:relSizeAnchor xmlns:cdr="http://schemas.openxmlformats.org/drawingml/2006/chartDrawing">
    <cdr:from>
      <cdr:x>0.02025</cdr:x>
      <cdr:y>0.95827</cdr:y>
    </cdr:from>
    <cdr:to>
      <cdr:x>0.27234</cdr:x>
      <cdr:y>0.9965</cdr:y>
    </cdr:to>
    <cdr:sp macro="" textlink="">
      <cdr:nvSpPr>
        <cdr:cNvPr id="4099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84973" y="5403492"/>
          <a:ext cx="2302682" cy="21557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txBody>
        <a:bodyPr xmlns:a="http://schemas.openxmlformats.org/drawingml/2006/main" wrap="none" lIns="27432" tIns="0" rIns="0" bIns="27432" anchor="b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de-DE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Gesamtzahl der Erkrankungen:</a:t>
          </a:r>
          <a:endParaRPr lang="de-DE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1638" cy="6005513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C55B999F-D23E-7625-D1F6-DC4A65E4F1E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0.272</cdr:x>
      <cdr:y>0.94427</cdr:y>
    </cdr:from>
    <cdr:to>
      <cdr:x>0.2844</cdr:x>
      <cdr:y>0.9825</cdr:y>
    </cdr:to>
    <cdr:sp macro="" textlink="Liste!$O$27">
      <cdr:nvSpPr>
        <cdr:cNvPr id="6146" name="Text Box 2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2484577" y="5324549"/>
          <a:ext cx="113301" cy="21557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txBody>
        <a:bodyPr xmlns:a="http://schemas.openxmlformats.org/drawingml/2006/main" wrap="none" lIns="27432" tIns="0" rIns="0" bIns="27432" anchor="b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fld id="{87812C05-33F9-487A-91D9-120283984548}" type="TxLink">
            <a:rPr lang="de-DE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0</a:t>
          </a:fld>
          <a:endParaRPr lang="de-DE"/>
        </a:p>
      </cdr:txBody>
    </cdr:sp>
  </cdr:relSizeAnchor>
  <cdr:relSizeAnchor xmlns:cdr="http://schemas.openxmlformats.org/drawingml/2006/chartDrawing">
    <cdr:from>
      <cdr:x>0.02425</cdr:x>
      <cdr:y>0.95852</cdr:y>
    </cdr:from>
    <cdr:to>
      <cdr:x>0.27634</cdr:x>
      <cdr:y>0.99675</cdr:y>
    </cdr:to>
    <cdr:sp macro="" textlink="">
      <cdr:nvSpPr>
        <cdr:cNvPr id="6147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21511" y="5404902"/>
          <a:ext cx="2302682" cy="21557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txBody>
        <a:bodyPr xmlns:a="http://schemas.openxmlformats.org/drawingml/2006/main" wrap="none" lIns="27432" tIns="0" rIns="0" bIns="27432" anchor="b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de-DE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Gesamtzahl der Erkrankungen:</a:t>
          </a:r>
          <a:endParaRPr lang="de-DE"/>
        </a:p>
      </cdr:txBody>
    </cdr:sp>
  </cdr:relSizeAnchor>
</c:userShape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D22"/>
  <sheetViews>
    <sheetView showGridLines="0" showRowColHeaders="0" tabSelected="1" workbookViewId="0">
      <selection activeCell="E3" sqref="E3"/>
    </sheetView>
  </sheetViews>
  <sheetFormatPr baseColWidth="10" defaultRowHeight="12.75" x14ac:dyDescent="0.35"/>
  <cols>
    <col min="1" max="1" width="23.59765625" customWidth="1"/>
    <col min="2" max="2" width="2.73046875" customWidth="1"/>
    <col min="3" max="3" width="34" customWidth="1"/>
    <col min="5" max="5" width="2.73046875" customWidth="1"/>
    <col min="6" max="6" width="20" customWidth="1"/>
  </cols>
  <sheetData>
    <row r="1" spans="1:4" ht="17.649999999999999" x14ac:dyDescent="0.5">
      <c r="A1" s="28" t="s">
        <v>40</v>
      </c>
      <c r="D1" s="8"/>
    </row>
    <row r="2" spans="1:4" ht="13.5" x14ac:dyDescent="0.35">
      <c r="A2" s="25"/>
    </row>
    <row r="3" spans="1:4" ht="13.9" x14ac:dyDescent="0.4">
      <c r="A3" s="26" t="s">
        <v>13</v>
      </c>
      <c r="C3" s="7">
        <v>37607</v>
      </c>
    </row>
    <row r="4" spans="1:4" ht="13.9" x14ac:dyDescent="0.4">
      <c r="A4" s="26"/>
    </row>
    <row r="5" spans="1:4" ht="13.9" x14ac:dyDescent="0.4">
      <c r="A5" s="26" t="s">
        <v>41</v>
      </c>
      <c r="C5">
        <v>0</v>
      </c>
      <c r="D5" s="4"/>
    </row>
    <row r="6" spans="1:4" s="3" customFormat="1" ht="10.15" x14ac:dyDescent="0.3">
      <c r="A6" s="27"/>
    </row>
    <row r="7" spans="1:4" s="1" customFormat="1" ht="13.9" x14ac:dyDescent="0.4">
      <c r="A7" s="26" t="s">
        <v>14</v>
      </c>
      <c r="C7" s="1">
        <v>0</v>
      </c>
    </row>
    <row r="8" spans="1:4" s="3" customFormat="1" ht="10.15" x14ac:dyDescent="0.3">
      <c r="A8" s="5"/>
    </row>
    <row r="9" spans="1:4" ht="15" customHeight="1" x14ac:dyDescent="0.35">
      <c r="A9" s="2"/>
    </row>
    <row r="10" spans="1:4" ht="15" customHeight="1" x14ac:dyDescent="0.35"/>
    <row r="11" spans="1:4" ht="15" customHeight="1" x14ac:dyDescent="0.35"/>
    <row r="12" spans="1:4" ht="15" customHeight="1" x14ac:dyDescent="0.35"/>
    <row r="13" spans="1:4" ht="15" customHeight="1" x14ac:dyDescent="0.35"/>
    <row r="14" spans="1:4" ht="15" customHeight="1" x14ac:dyDescent="0.35"/>
    <row r="15" spans="1:4" ht="15" customHeight="1" x14ac:dyDescent="0.35"/>
    <row r="16" spans="1:4" ht="15" customHeight="1" x14ac:dyDescent="0.35"/>
    <row r="17" ht="15" customHeight="1" x14ac:dyDescent="0.35"/>
    <row r="18" ht="15" customHeight="1" x14ac:dyDescent="0.35"/>
    <row r="19" ht="15" customHeight="1" x14ac:dyDescent="0.35"/>
    <row r="20" ht="15" customHeight="1" x14ac:dyDescent="0.35"/>
    <row r="21" ht="15" customHeight="1" x14ac:dyDescent="0.35"/>
    <row r="22" ht="15" customHeight="1" x14ac:dyDescent="0.35"/>
  </sheetData>
  <sheetProtection sheet="1" objects="1" scenarios="1" selectLockedCells="1" selectUnlockedCells="1"/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Unfallart">
              <controlPr defaultSize="0" autoLine="0" autoPict="0">
                <anchor moveWithCells="1">
                  <from>
                    <xdr:col>2</xdr:col>
                    <xdr:colOff>0</xdr:colOff>
                    <xdr:row>3</xdr:row>
                    <xdr:rowOff>166688</xdr:rowOff>
                  </from>
                  <to>
                    <xdr:col>3</xdr:col>
                    <xdr:colOff>19050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Ausfalltage">
              <controlPr defaultSize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3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Data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3</xdr:col>
                    <xdr:colOff>19050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Tag">
              <controlPr defaultSize="0" autoLine="0" autoPict="0" macro="[0]!Date_Change">
                <anchor mov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2</xdr:col>
                    <xdr:colOff>490538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Monat">
              <controlPr defaultSize="0" autoLine="0" autoPict="0" macro="[0]!Date_Change">
                <anchor moveWithCells="1">
                  <from>
                    <xdr:col>2</xdr:col>
                    <xdr:colOff>490538</xdr:colOff>
                    <xdr:row>2</xdr:row>
                    <xdr:rowOff>0</xdr:rowOff>
                  </from>
                  <to>
                    <xdr:col>2</xdr:col>
                    <xdr:colOff>1528763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Jahr">
              <controlPr defaultSize="0" autoLine="0" autoPict="0" macro="[0]!Date_Change">
                <anchor moveWithCells="1">
                  <from>
                    <xdr:col>2</xdr:col>
                    <xdr:colOff>1528763</xdr:colOff>
                    <xdr:row>2</xdr:row>
                    <xdr:rowOff>0</xdr:rowOff>
                  </from>
                  <to>
                    <xdr:col>3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14">
              <controlPr defaultSize="0" print="0" autoFill="0" autoPict="0" macro="[0]!Show_List">
                <anchor moveWithCells="1">
                  <from>
                    <xdr:col>2</xdr:col>
                    <xdr:colOff>9525</xdr:colOff>
                    <xdr:row>9</xdr:row>
                    <xdr:rowOff>171450</xdr:rowOff>
                  </from>
                  <to>
                    <xdr:col>3</xdr:col>
                    <xdr:colOff>28575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Button 15">
              <controlPr defaultSize="0" print="0" autoFill="0" autoPict="0" macro="[0]!Dia_Art">
                <anchor moveWithCells="1">
                  <from>
                    <xdr:col>2</xdr:col>
                    <xdr:colOff>9525</xdr:colOff>
                    <xdr:row>11</xdr:row>
                    <xdr:rowOff>152400</xdr:rowOff>
                  </from>
                  <to>
                    <xdr:col>3</xdr:col>
                    <xdr:colOff>28575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Button 16">
              <controlPr defaultSize="0" print="0" autoFill="0" autoPict="0" macro="[0]!Dia_Tage">
                <anchor moveWithCells="1">
                  <from>
                    <xdr:col>2</xdr:col>
                    <xdr:colOff>9525</xdr:colOff>
                    <xdr:row>13</xdr:row>
                    <xdr:rowOff>133350</xdr:rowOff>
                  </from>
                  <to>
                    <xdr:col>3</xdr:col>
                    <xdr:colOff>28575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H51"/>
  <sheetViews>
    <sheetView workbookViewId="0">
      <selection activeCell="F51" sqref="F51"/>
    </sheetView>
  </sheetViews>
  <sheetFormatPr baseColWidth="10" defaultRowHeight="13.5" x14ac:dyDescent="0.35"/>
  <cols>
    <col min="1" max="1" width="37.265625" style="1" customWidth="1"/>
    <col min="2" max="2" width="15.73046875" style="1" customWidth="1"/>
    <col min="3" max="3" width="21.1328125" style="1" customWidth="1"/>
    <col min="4" max="4" width="5.59765625" customWidth="1"/>
    <col min="5" max="5" width="10.59765625" customWidth="1"/>
    <col min="6" max="6" width="5.73046875" customWidth="1"/>
  </cols>
  <sheetData>
    <row r="1" spans="1:8" ht="13.9" x14ac:dyDescent="0.4">
      <c r="A1" s="6" t="s">
        <v>3</v>
      </c>
      <c r="B1" s="6" t="s">
        <v>1</v>
      </c>
      <c r="C1" s="6" t="s">
        <v>2</v>
      </c>
      <c r="D1" s="6" t="s">
        <v>15</v>
      </c>
      <c r="E1" s="6" t="s">
        <v>16</v>
      </c>
      <c r="F1" s="6" t="s">
        <v>17</v>
      </c>
      <c r="G1" s="24" t="s">
        <v>39</v>
      </c>
      <c r="H1" s="16">
        <v>45359</v>
      </c>
    </row>
    <row r="2" spans="1:8" x14ac:dyDescent="0.35">
      <c r="A2" s="1" t="s">
        <v>42</v>
      </c>
      <c r="B2" s="1" t="s">
        <v>6</v>
      </c>
      <c r="C2" s="1" t="s">
        <v>4</v>
      </c>
      <c r="D2">
        <v>1</v>
      </c>
      <c r="E2" t="s">
        <v>18</v>
      </c>
      <c r="F2">
        <v>1980</v>
      </c>
      <c r="G2" t="s">
        <v>37</v>
      </c>
      <c r="H2" s="15">
        <v>0</v>
      </c>
    </row>
    <row r="3" spans="1:8" x14ac:dyDescent="0.35">
      <c r="A3" s="1" t="s">
        <v>43</v>
      </c>
      <c r="B3" s="1" t="s">
        <v>7</v>
      </c>
      <c r="C3" s="1" t="s">
        <v>33</v>
      </c>
      <c r="D3">
        <f>D2+1</f>
        <v>2</v>
      </c>
      <c r="E3" t="s">
        <v>19</v>
      </c>
      <c r="F3">
        <f>F2+1</f>
        <v>1981</v>
      </c>
      <c r="G3" t="s">
        <v>38</v>
      </c>
      <c r="H3" s="15">
        <v>0</v>
      </c>
    </row>
    <row r="4" spans="1:8" x14ac:dyDescent="0.35">
      <c r="A4" s="1" t="s">
        <v>44</v>
      </c>
      <c r="B4" s="1" t="s">
        <v>8</v>
      </c>
      <c r="C4" s="1" t="s">
        <v>34</v>
      </c>
      <c r="D4">
        <f t="shared" ref="D4:D32" si="0">D3+1</f>
        <v>3</v>
      </c>
      <c r="E4" t="s">
        <v>20</v>
      </c>
      <c r="F4">
        <f t="shared" ref="F4:F31" si="1">F3+1</f>
        <v>1982</v>
      </c>
      <c r="H4" s="15">
        <v>0</v>
      </c>
    </row>
    <row r="5" spans="1:8" x14ac:dyDescent="0.35">
      <c r="A5" s="1" t="s">
        <v>36</v>
      </c>
      <c r="B5" s="1" t="s">
        <v>9</v>
      </c>
      <c r="C5" s="1" t="s">
        <v>35</v>
      </c>
      <c r="D5">
        <f t="shared" si="0"/>
        <v>4</v>
      </c>
      <c r="E5" t="s">
        <v>21</v>
      </c>
      <c r="F5">
        <f t="shared" si="1"/>
        <v>1983</v>
      </c>
      <c r="H5" s="15">
        <v>1</v>
      </c>
    </row>
    <row r="6" spans="1:8" x14ac:dyDescent="0.35">
      <c r="A6" s="1" t="s">
        <v>45</v>
      </c>
      <c r="B6" s="1" t="s">
        <v>10</v>
      </c>
      <c r="D6">
        <f t="shared" si="0"/>
        <v>5</v>
      </c>
      <c r="E6" t="s">
        <v>22</v>
      </c>
      <c r="F6">
        <f t="shared" si="1"/>
        <v>1984</v>
      </c>
    </row>
    <row r="7" spans="1:8" x14ac:dyDescent="0.35">
      <c r="B7" s="1" t="s">
        <v>11</v>
      </c>
      <c r="D7">
        <f t="shared" si="0"/>
        <v>6</v>
      </c>
      <c r="E7" t="s">
        <v>23</v>
      </c>
      <c r="F7">
        <f t="shared" si="1"/>
        <v>1985</v>
      </c>
    </row>
    <row r="8" spans="1:8" x14ac:dyDescent="0.35">
      <c r="B8" s="1" t="s">
        <v>12</v>
      </c>
      <c r="D8">
        <f t="shared" si="0"/>
        <v>7</v>
      </c>
      <c r="E8" t="s">
        <v>24</v>
      </c>
      <c r="F8">
        <f t="shared" si="1"/>
        <v>1986</v>
      </c>
    </row>
    <row r="9" spans="1:8" x14ac:dyDescent="0.35">
      <c r="B9" s="1" t="s">
        <v>30</v>
      </c>
      <c r="D9">
        <f t="shared" si="0"/>
        <v>8</v>
      </c>
      <c r="E9" t="s">
        <v>25</v>
      </c>
      <c r="F9">
        <f t="shared" si="1"/>
        <v>1987</v>
      </c>
    </row>
    <row r="10" spans="1:8" x14ac:dyDescent="0.35">
      <c r="B10" s="1" t="s">
        <v>31</v>
      </c>
      <c r="D10">
        <f t="shared" si="0"/>
        <v>9</v>
      </c>
      <c r="E10" t="s">
        <v>26</v>
      </c>
      <c r="F10">
        <f t="shared" si="1"/>
        <v>1988</v>
      </c>
    </row>
    <row r="11" spans="1:8" x14ac:dyDescent="0.35">
      <c r="B11" s="1" t="s">
        <v>32</v>
      </c>
      <c r="D11">
        <f t="shared" si="0"/>
        <v>10</v>
      </c>
      <c r="E11" t="s">
        <v>27</v>
      </c>
      <c r="F11">
        <f t="shared" si="1"/>
        <v>1989</v>
      </c>
    </row>
    <row r="12" spans="1:8" x14ac:dyDescent="0.35">
      <c r="B12" s="1" t="s">
        <v>5</v>
      </c>
      <c r="D12">
        <f t="shared" si="0"/>
        <v>11</v>
      </c>
      <c r="E12" t="s">
        <v>28</v>
      </c>
      <c r="F12">
        <f t="shared" si="1"/>
        <v>1990</v>
      </c>
    </row>
    <row r="13" spans="1:8" x14ac:dyDescent="0.35">
      <c r="D13">
        <f t="shared" si="0"/>
        <v>12</v>
      </c>
      <c r="E13" t="s">
        <v>29</v>
      </c>
      <c r="F13">
        <f t="shared" si="1"/>
        <v>1991</v>
      </c>
    </row>
    <row r="14" spans="1:8" x14ac:dyDescent="0.35">
      <c r="D14">
        <f t="shared" si="0"/>
        <v>13</v>
      </c>
      <c r="F14">
        <f t="shared" si="1"/>
        <v>1992</v>
      </c>
    </row>
    <row r="15" spans="1:8" x14ac:dyDescent="0.35">
      <c r="D15">
        <f t="shared" si="0"/>
        <v>14</v>
      </c>
      <c r="F15">
        <f t="shared" si="1"/>
        <v>1993</v>
      </c>
    </row>
    <row r="16" spans="1:8" x14ac:dyDescent="0.35">
      <c r="D16">
        <f t="shared" si="0"/>
        <v>15</v>
      </c>
      <c r="F16">
        <f t="shared" si="1"/>
        <v>1994</v>
      </c>
    </row>
    <row r="17" spans="1:6" x14ac:dyDescent="0.35">
      <c r="D17">
        <f t="shared" si="0"/>
        <v>16</v>
      </c>
      <c r="F17">
        <f t="shared" si="1"/>
        <v>1995</v>
      </c>
    </row>
    <row r="18" spans="1:6" x14ac:dyDescent="0.35">
      <c r="D18">
        <f t="shared" si="0"/>
        <v>17</v>
      </c>
      <c r="F18">
        <f t="shared" si="1"/>
        <v>1996</v>
      </c>
    </row>
    <row r="19" spans="1:6" x14ac:dyDescent="0.35">
      <c r="D19">
        <f t="shared" si="0"/>
        <v>18</v>
      </c>
      <c r="F19">
        <f t="shared" si="1"/>
        <v>1997</v>
      </c>
    </row>
    <row r="20" spans="1:6" x14ac:dyDescent="0.35">
      <c r="D20">
        <f t="shared" si="0"/>
        <v>19</v>
      </c>
      <c r="F20">
        <f t="shared" si="1"/>
        <v>1998</v>
      </c>
    </row>
    <row r="21" spans="1:6" x14ac:dyDescent="0.35">
      <c r="D21">
        <f t="shared" si="0"/>
        <v>20</v>
      </c>
      <c r="F21">
        <f t="shared" si="1"/>
        <v>1999</v>
      </c>
    </row>
    <row r="22" spans="1:6" x14ac:dyDescent="0.35">
      <c r="D22">
        <f t="shared" si="0"/>
        <v>21</v>
      </c>
      <c r="F22">
        <f t="shared" si="1"/>
        <v>2000</v>
      </c>
    </row>
    <row r="23" spans="1:6" x14ac:dyDescent="0.35">
      <c r="D23">
        <f t="shared" si="0"/>
        <v>22</v>
      </c>
      <c r="F23">
        <f t="shared" si="1"/>
        <v>2001</v>
      </c>
    </row>
    <row r="24" spans="1:6" x14ac:dyDescent="0.35">
      <c r="D24">
        <f t="shared" si="0"/>
        <v>23</v>
      </c>
      <c r="F24">
        <f t="shared" si="1"/>
        <v>2002</v>
      </c>
    </row>
    <row r="25" spans="1:6" x14ac:dyDescent="0.35">
      <c r="D25">
        <f t="shared" si="0"/>
        <v>24</v>
      </c>
      <c r="F25">
        <f t="shared" si="1"/>
        <v>2003</v>
      </c>
    </row>
    <row r="26" spans="1:6" x14ac:dyDescent="0.35">
      <c r="D26">
        <f t="shared" si="0"/>
        <v>25</v>
      </c>
      <c r="F26">
        <f t="shared" si="1"/>
        <v>2004</v>
      </c>
    </row>
    <row r="27" spans="1:6" x14ac:dyDescent="0.35">
      <c r="D27">
        <f t="shared" si="0"/>
        <v>26</v>
      </c>
      <c r="F27">
        <f t="shared" si="1"/>
        <v>2005</v>
      </c>
    </row>
    <row r="28" spans="1:6" x14ac:dyDescent="0.35">
      <c r="D28">
        <f t="shared" si="0"/>
        <v>27</v>
      </c>
      <c r="F28">
        <f t="shared" si="1"/>
        <v>2006</v>
      </c>
    </row>
    <row r="29" spans="1:6" x14ac:dyDescent="0.35">
      <c r="D29">
        <f t="shared" si="0"/>
        <v>28</v>
      </c>
      <c r="F29">
        <f t="shared" si="1"/>
        <v>2007</v>
      </c>
    </row>
    <row r="30" spans="1:6" x14ac:dyDescent="0.35">
      <c r="A30" s="17"/>
      <c r="D30">
        <f t="shared" si="0"/>
        <v>29</v>
      </c>
      <c r="F30">
        <f t="shared" si="1"/>
        <v>2008</v>
      </c>
    </row>
    <row r="31" spans="1:6" x14ac:dyDescent="0.35">
      <c r="D31">
        <f t="shared" si="0"/>
        <v>30</v>
      </c>
      <c r="F31">
        <f t="shared" si="1"/>
        <v>2009</v>
      </c>
    </row>
    <row r="32" spans="1:6" x14ac:dyDescent="0.35">
      <c r="D32">
        <f t="shared" si="0"/>
        <v>31</v>
      </c>
      <c r="F32">
        <f>F31+1</f>
        <v>2010</v>
      </c>
    </row>
    <row r="33" spans="6:6" x14ac:dyDescent="0.35">
      <c r="F33">
        <v>2011</v>
      </c>
    </row>
    <row r="34" spans="6:6" x14ac:dyDescent="0.35">
      <c r="F34">
        <v>2012</v>
      </c>
    </row>
    <row r="35" spans="6:6" x14ac:dyDescent="0.35">
      <c r="F35">
        <v>2013</v>
      </c>
    </row>
    <row r="36" spans="6:6" x14ac:dyDescent="0.35">
      <c r="F36">
        <v>2014</v>
      </c>
    </row>
    <row r="37" spans="6:6" x14ac:dyDescent="0.35">
      <c r="F37">
        <v>2015</v>
      </c>
    </row>
    <row r="38" spans="6:6" x14ac:dyDescent="0.35">
      <c r="F38">
        <v>2016</v>
      </c>
    </row>
    <row r="39" spans="6:6" x14ac:dyDescent="0.35">
      <c r="F39">
        <v>2017</v>
      </c>
    </row>
    <row r="40" spans="6:6" x14ac:dyDescent="0.35">
      <c r="F40">
        <v>2018</v>
      </c>
    </row>
    <row r="41" spans="6:6" x14ac:dyDescent="0.35">
      <c r="F41">
        <v>2019</v>
      </c>
    </row>
    <row r="42" spans="6:6" x14ac:dyDescent="0.35">
      <c r="F42">
        <v>2020</v>
      </c>
    </row>
    <row r="43" spans="6:6" x14ac:dyDescent="0.35">
      <c r="F43">
        <v>2021</v>
      </c>
    </row>
    <row r="44" spans="6:6" x14ac:dyDescent="0.35">
      <c r="F44">
        <v>2022</v>
      </c>
    </row>
    <row r="45" spans="6:6" x14ac:dyDescent="0.35">
      <c r="F45">
        <v>2023</v>
      </c>
    </row>
    <row r="46" spans="6:6" x14ac:dyDescent="0.35">
      <c r="F46">
        <v>2024</v>
      </c>
    </row>
    <row r="47" spans="6:6" x14ac:dyDescent="0.35">
      <c r="F47">
        <v>2025</v>
      </c>
    </row>
    <row r="48" spans="6:6" x14ac:dyDescent="0.35">
      <c r="F48">
        <v>2026</v>
      </c>
    </row>
    <row r="49" spans="6:6" x14ac:dyDescent="0.35">
      <c r="F49">
        <v>2027</v>
      </c>
    </row>
    <row r="50" spans="6:6" x14ac:dyDescent="0.35">
      <c r="F50">
        <v>2028</v>
      </c>
    </row>
    <row r="51" spans="6:6" x14ac:dyDescent="0.35">
      <c r="F51">
        <v>2029</v>
      </c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O37"/>
  <sheetViews>
    <sheetView workbookViewId="0">
      <selection activeCell="C3" sqref="C3:C6"/>
    </sheetView>
  </sheetViews>
  <sheetFormatPr baseColWidth="10" defaultRowHeight="12.75" x14ac:dyDescent="0.35"/>
  <cols>
    <col min="1" max="1" width="10.3984375" style="19" customWidth="1"/>
    <col min="2" max="2" width="37.3984375" style="20" customWidth="1"/>
    <col min="3" max="3" width="14.59765625" style="21" customWidth="1"/>
    <col min="4" max="4" width="11.3984375" customWidth="1"/>
    <col min="11" max="11" width="40" customWidth="1"/>
  </cols>
  <sheetData>
    <row r="1" spans="1:15" ht="13.9" x14ac:dyDescent="0.4">
      <c r="A1" s="9" t="s">
        <v>0</v>
      </c>
      <c r="B1" s="13" t="s">
        <v>3</v>
      </c>
      <c r="C1" s="11" t="s">
        <v>1</v>
      </c>
    </row>
    <row r="2" spans="1:15" ht="13.15" x14ac:dyDescent="0.4">
      <c r="A2" s="10"/>
      <c r="B2" s="14"/>
      <c r="C2" s="12"/>
      <c r="L2" s="22">
        <v>2012</v>
      </c>
      <c r="M2" s="22">
        <v>-1</v>
      </c>
      <c r="N2" s="22">
        <v>-1</v>
      </c>
    </row>
    <row r="3" spans="1:15" ht="13.15" x14ac:dyDescent="0.4">
      <c r="K3" s="18" t="s">
        <v>42</v>
      </c>
      <c r="L3" s="23">
        <f>COUNTIF(B3:B4,K3)</f>
        <v>0</v>
      </c>
      <c r="M3" s="23">
        <f>COUNTIF(B124:B172,K3)</f>
        <v>0</v>
      </c>
      <c r="N3" s="23">
        <f>COUNTIF(B173:B213,K3)</f>
        <v>0</v>
      </c>
    </row>
    <row r="4" spans="1:15" ht="13.15" x14ac:dyDescent="0.4">
      <c r="K4" s="18" t="s">
        <v>43</v>
      </c>
      <c r="L4" s="23">
        <f>COUNTIF(B3:B4,K4)</f>
        <v>0</v>
      </c>
      <c r="M4" s="23">
        <f>COUNTIF(B124:B172,K4)</f>
        <v>0</v>
      </c>
      <c r="N4" s="23">
        <f>COUNTIF(B173:B213,K4)</f>
        <v>0</v>
      </c>
    </row>
    <row r="5" spans="1:15" ht="13.15" x14ac:dyDescent="0.4">
      <c r="K5" s="18" t="s">
        <v>44</v>
      </c>
      <c r="L5" s="23">
        <f>COUNTIF(B3:B4,K5)</f>
        <v>0</v>
      </c>
      <c r="M5" s="23">
        <f>COUNTIF(B124:B172,K5)</f>
        <v>0</v>
      </c>
      <c r="N5" s="23">
        <f>COUNTIF(B173:B213,K5)</f>
        <v>0</v>
      </c>
    </row>
    <row r="6" spans="1:15" ht="13.15" x14ac:dyDescent="0.4">
      <c r="K6" s="18" t="s">
        <v>36</v>
      </c>
      <c r="L6" s="23">
        <f>COUNTIF(B3:B4,K6)</f>
        <v>0</v>
      </c>
      <c r="M6" s="23">
        <f>COUNTIF(B124:B172,K6)</f>
        <v>0</v>
      </c>
      <c r="N6" s="23">
        <f>COUNTIF(B173:B213,K6)</f>
        <v>0</v>
      </c>
    </row>
    <row r="7" spans="1:15" ht="13.15" x14ac:dyDescent="0.4">
      <c r="K7" s="18" t="s">
        <v>45</v>
      </c>
      <c r="L7" s="23">
        <f>COUNTIF(B3:B4,K7)</f>
        <v>0</v>
      </c>
      <c r="M7" s="23">
        <f>COUNTIF(B124:B172,K7)</f>
        <v>0</v>
      </c>
      <c r="N7" s="23">
        <f>COUNTIF(B173:B213,K7)</f>
        <v>0</v>
      </c>
    </row>
    <row r="8" spans="1:15" ht="13.15" x14ac:dyDescent="0.4">
      <c r="K8" s="18"/>
      <c r="L8">
        <f>SUM(L3:L7)</f>
        <v>0</v>
      </c>
      <c r="M8">
        <f>SUM(M3:M7)</f>
        <v>0</v>
      </c>
      <c r="N8">
        <f>SUM(N3:N7)</f>
        <v>0</v>
      </c>
      <c r="O8">
        <f>SUMIF(L2:N2,"&gt;0",L8:N8)</f>
        <v>0</v>
      </c>
    </row>
    <row r="9" spans="1:15" ht="13.15" x14ac:dyDescent="0.4">
      <c r="K9" s="18"/>
      <c r="L9" s="23"/>
      <c r="M9" s="23"/>
      <c r="N9" s="23"/>
    </row>
    <row r="10" spans="1:15" ht="13.15" x14ac:dyDescent="0.4">
      <c r="K10" s="18"/>
      <c r="L10" s="23"/>
      <c r="M10" s="23"/>
      <c r="N10" s="23"/>
    </row>
    <row r="11" spans="1:15" ht="13.15" x14ac:dyDescent="0.4">
      <c r="K11" s="18"/>
      <c r="L11" s="23"/>
      <c r="M11" s="23"/>
      <c r="N11" s="23"/>
    </row>
    <row r="15" spans="1:15" ht="13.15" x14ac:dyDescent="0.4">
      <c r="L15" s="22">
        <v>2012</v>
      </c>
      <c r="M15" s="22">
        <v>-1</v>
      </c>
      <c r="N15" s="22">
        <v>-1</v>
      </c>
    </row>
    <row r="16" spans="1:15" ht="13.15" x14ac:dyDescent="0.4">
      <c r="K16" s="18" t="s">
        <v>6</v>
      </c>
      <c r="L16" s="23">
        <f>COUNTIF(C3:C6,K16)</f>
        <v>0</v>
      </c>
      <c r="M16" s="23">
        <f>COUNTIF(C124:C172,K16)</f>
        <v>0</v>
      </c>
      <c r="N16" s="23">
        <f>COUNTIF(C173:C213,K16)</f>
        <v>0</v>
      </c>
    </row>
    <row r="17" spans="11:15" ht="13.15" x14ac:dyDescent="0.4">
      <c r="K17" s="18" t="s">
        <v>7</v>
      </c>
      <c r="L17" s="23">
        <f>COUNTIF(C3:C6,K17)</f>
        <v>0</v>
      </c>
      <c r="M17" s="23">
        <f>COUNTIF(C124:C172,K17)</f>
        <v>0</v>
      </c>
      <c r="N17" s="23">
        <f>COUNTIF(C173:C213,K17)</f>
        <v>0</v>
      </c>
    </row>
    <row r="18" spans="11:15" ht="13.15" x14ac:dyDescent="0.4">
      <c r="K18" s="18" t="s">
        <v>8</v>
      </c>
      <c r="L18" s="23">
        <f>COUNTIF(C3:C6,K18)</f>
        <v>0</v>
      </c>
      <c r="M18" s="23">
        <f>COUNTIF(C124:C172,K18)</f>
        <v>0</v>
      </c>
      <c r="N18" s="23">
        <f>COUNTIF(C173:C213,K18)</f>
        <v>0</v>
      </c>
    </row>
    <row r="19" spans="11:15" ht="13.15" x14ac:dyDescent="0.4">
      <c r="K19" s="18" t="s">
        <v>9</v>
      </c>
      <c r="L19" s="23">
        <f>COUNTIF(C3:C6,K19)</f>
        <v>0</v>
      </c>
      <c r="M19" s="23">
        <f>COUNTIF(C124:C172,K19)</f>
        <v>0</v>
      </c>
      <c r="N19" s="23">
        <f>COUNTIF(C173:C213,K19)</f>
        <v>0</v>
      </c>
    </row>
    <row r="20" spans="11:15" ht="13.15" x14ac:dyDescent="0.4">
      <c r="K20" s="18" t="s">
        <v>10</v>
      </c>
      <c r="L20" s="23">
        <f>COUNTIF(C3:C6,K20)</f>
        <v>0</v>
      </c>
      <c r="M20" s="23">
        <f>COUNTIF(C124:C172,K20)</f>
        <v>0</v>
      </c>
      <c r="N20" s="23">
        <f>COUNTIF(C173:C213,K20)</f>
        <v>0</v>
      </c>
    </row>
    <row r="21" spans="11:15" ht="13.15" x14ac:dyDescent="0.4">
      <c r="K21" s="18" t="s">
        <v>11</v>
      </c>
      <c r="L21" s="23">
        <f>COUNTIF(C3:C6,K21)</f>
        <v>0</v>
      </c>
      <c r="M21" s="23">
        <f>COUNTIF(C124:C172,K21)</f>
        <v>0</v>
      </c>
      <c r="N21" s="23">
        <f>COUNTIF(C173:C213,K21)</f>
        <v>0</v>
      </c>
    </row>
    <row r="22" spans="11:15" ht="13.15" x14ac:dyDescent="0.4">
      <c r="K22" s="18" t="s">
        <v>12</v>
      </c>
      <c r="L22" s="23">
        <f>COUNTIF(C3:C6,K22)</f>
        <v>0</v>
      </c>
      <c r="M22" s="23">
        <f>COUNTIF(C124:C172,K22)</f>
        <v>0</v>
      </c>
      <c r="N22" s="23">
        <f>COUNTIF(C173:C213,K22)</f>
        <v>0</v>
      </c>
    </row>
    <row r="23" spans="11:15" ht="13.15" x14ac:dyDescent="0.4">
      <c r="K23" s="18" t="s">
        <v>30</v>
      </c>
      <c r="L23" s="23">
        <f>COUNTIF(C3:C6,K23)</f>
        <v>0</v>
      </c>
      <c r="M23" s="23">
        <f>COUNTIF(C124:C172,K23)</f>
        <v>0</v>
      </c>
      <c r="N23" s="23">
        <f>COUNTIF(C173:C213,K23)</f>
        <v>0</v>
      </c>
    </row>
    <row r="24" spans="11:15" ht="13.15" x14ac:dyDescent="0.4">
      <c r="K24" s="18" t="s">
        <v>31</v>
      </c>
      <c r="L24" s="23">
        <f>COUNTIF(C3:C6,K24)</f>
        <v>0</v>
      </c>
      <c r="M24" s="23">
        <f>COUNTIF(C124:C172,K24)</f>
        <v>0</v>
      </c>
      <c r="N24" s="23">
        <f>COUNTIF(C173:C213,K24)</f>
        <v>0</v>
      </c>
    </row>
    <row r="25" spans="11:15" ht="13.15" x14ac:dyDescent="0.4">
      <c r="K25" s="18" t="s">
        <v>32</v>
      </c>
      <c r="L25" s="23">
        <f>COUNTIF(C3:C6,K25)</f>
        <v>0</v>
      </c>
      <c r="M25" s="23">
        <f>COUNTIF(C124:C172,K25)</f>
        <v>0</v>
      </c>
      <c r="N25" s="23">
        <f>COUNTIF(C173:C213,K25)</f>
        <v>0</v>
      </c>
    </row>
    <row r="26" spans="11:15" ht="13.15" x14ac:dyDescent="0.4">
      <c r="K26" s="18" t="s">
        <v>5</v>
      </c>
      <c r="L26" s="23">
        <f>COUNTIF(C3:C6,K26)</f>
        <v>0</v>
      </c>
      <c r="M26" s="23">
        <f>COUNTIF(C124:C172,K26)</f>
        <v>0</v>
      </c>
      <c r="N26" s="23">
        <f>COUNTIF(C173:C213,K26)</f>
        <v>0</v>
      </c>
    </row>
    <row r="27" spans="11:15" x14ac:dyDescent="0.35">
      <c r="L27">
        <f>SUM(L16:L26)</f>
        <v>0</v>
      </c>
      <c r="M27">
        <f>SUM(M16:M26)</f>
        <v>0</v>
      </c>
      <c r="N27">
        <f>SUM(N16:N26)</f>
        <v>0</v>
      </c>
      <c r="O27">
        <f>SUMIF(L15:N15,"&gt;0",L27:N27)</f>
        <v>0</v>
      </c>
    </row>
    <row r="31" spans="11:15" ht="13.15" x14ac:dyDescent="0.4">
      <c r="L31" s="22"/>
      <c r="M31" s="22"/>
      <c r="N31" s="22"/>
    </row>
    <row r="32" spans="11:15" ht="13.15" x14ac:dyDescent="0.4">
      <c r="K32" s="18"/>
      <c r="L32" s="23"/>
      <c r="M32" s="23"/>
      <c r="N32" s="23"/>
    </row>
    <row r="33" spans="11:14" ht="13.15" x14ac:dyDescent="0.4">
      <c r="K33" s="18"/>
      <c r="L33" s="23"/>
      <c r="M33" s="23"/>
      <c r="N33" s="23"/>
    </row>
    <row r="34" spans="11:14" ht="13.15" x14ac:dyDescent="0.4">
      <c r="K34" s="18"/>
      <c r="L34" s="23"/>
      <c r="M34" s="23"/>
      <c r="N34" s="23"/>
    </row>
    <row r="35" spans="11:14" ht="13.15" x14ac:dyDescent="0.4">
      <c r="K35" s="18"/>
      <c r="L35" s="23"/>
      <c r="M35" s="23"/>
      <c r="N35" s="23"/>
    </row>
    <row r="36" spans="11:14" ht="13.15" x14ac:dyDescent="0.4">
      <c r="K36" s="18"/>
      <c r="L36" s="23"/>
      <c r="M36" s="23"/>
      <c r="N36" s="23"/>
    </row>
    <row r="37" spans="11:14" ht="13.15" x14ac:dyDescent="0.4">
      <c r="K37" s="18"/>
      <c r="L37" s="23"/>
      <c r="M37" s="23"/>
      <c r="N37" s="23"/>
    </row>
  </sheetData>
  <sheetProtection sheet="1" objects="1" scenarios="1"/>
  <sortState xmlns:xlrd2="http://schemas.microsoft.com/office/spreadsheetml/2017/richdata2" ref="A3:C3">
    <sortCondition ref="A3"/>
  </sortState>
  <phoneticPr fontId="0" type="noConversion"/>
  <pageMargins left="0.78740157499999996" right="0.78740157499999996" top="0.984251969" bottom="0.984251969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ow_Input">
                <anchor moveWithCells="1" sizeWithCells="1">
                  <from>
                    <xdr:col>3</xdr:col>
                    <xdr:colOff>100013</xdr:colOff>
                    <xdr:row>0</xdr:row>
                    <xdr:rowOff>95250</xdr:rowOff>
                  </from>
                  <to>
                    <xdr:col>4</xdr:col>
                    <xdr:colOff>685800</xdr:colOff>
                    <xdr:row>2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Diagramme</vt:lpstr>
      </vt:variant>
      <vt:variant>
        <vt:i4>2</vt:i4>
      </vt:variant>
    </vt:vector>
  </HeadingPairs>
  <TitlesOfParts>
    <vt:vector size="5" baseType="lpstr">
      <vt:lpstr>Erfassung</vt:lpstr>
      <vt:lpstr>Art-Bereich-Tage</vt:lpstr>
      <vt:lpstr>Liste</vt:lpstr>
      <vt:lpstr>Unfallart</vt:lpstr>
      <vt:lpstr>Ausfalltage</vt:lpstr>
    </vt:vector>
  </TitlesOfParts>
  <Company>SW Media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Henryk Wyrwich</dc:creator>
  <cp:lastModifiedBy>Andreas Staerkert</cp:lastModifiedBy>
  <dcterms:created xsi:type="dcterms:W3CDTF">1999-09-23T13:01:52Z</dcterms:created>
  <dcterms:modified xsi:type="dcterms:W3CDTF">2024-03-08T20:38:43Z</dcterms:modified>
</cp:coreProperties>
</file>